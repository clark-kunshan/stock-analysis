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5" windowHeight="8055" tabRatio="849"/>
  </bookViews>
  <sheets>
    <sheet name="股票(PEG)估值计算方法" sheetId="16" r:id="rId1"/>
    <sheet name="PE区间估值法原始表格" sheetId="19" r:id="rId2"/>
    <sheet name="估值" sheetId="6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6"/>
  <c r="H12" i="6"/>
  <c r="H11"/>
  <c r="H9"/>
  <c r="H8"/>
  <c r="H6"/>
  <c r="H5"/>
  <c r="I152" i="19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8"/>
  <c r="H108"/>
  <c r="I107"/>
  <c r="H107"/>
  <c r="I106"/>
  <c r="H106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R71" i="16"/>
  <c r="L71"/>
  <c r="J71"/>
  <c r="I71"/>
  <c r="H71"/>
  <c r="G71"/>
  <c r="B71"/>
  <c r="R70"/>
  <c r="L70"/>
  <c r="J70"/>
  <c r="I70"/>
  <c r="H70"/>
  <c r="G70"/>
  <c r="B70"/>
  <c r="R69"/>
  <c r="L69"/>
  <c r="J69"/>
  <c r="I69"/>
  <c r="H69"/>
  <c r="G69"/>
  <c r="B69"/>
  <c r="R68"/>
  <c r="L68"/>
  <c r="J68"/>
  <c r="I68"/>
  <c r="H68"/>
  <c r="G68"/>
  <c r="B68"/>
  <c r="R67"/>
  <c r="L67"/>
  <c r="J67"/>
  <c r="I67"/>
  <c r="H67"/>
  <c r="G67"/>
  <c r="B67"/>
  <c r="R66"/>
  <c r="L66"/>
  <c r="J66"/>
  <c r="I66"/>
  <c r="H66"/>
  <c r="G66"/>
  <c r="B66"/>
  <c r="R65"/>
  <c r="L65"/>
  <c r="J65"/>
  <c r="I65"/>
  <c r="H65"/>
  <c r="G65"/>
  <c r="B65"/>
  <c r="R64"/>
  <c r="L64"/>
  <c r="J64"/>
  <c r="I64"/>
  <c r="H64"/>
  <c r="G64"/>
  <c r="B64"/>
  <c r="R63"/>
  <c r="L63"/>
  <c r="J63"/>
  <c r="I63"/>
  <c r="H63"/>
  <c r="G63"/>
  <c r="B63"/>
  <c r="R62"/>
  <c r="L62"/>
  <c r="J62"/>
  <c r="I62"/>
  <c r="H62"/>
  <c r="G62"/>
  <c r="B62"/>
  <c r="R61"/>
  <c r="L61"/>
  <c r="J61"/>
  <c r="I61"/>
  <c r="H61"/>
  <c r="G61"/>
  <c r="B61"/>
  <c r="R60"/>
  <c r="L60"/>
  <c r="J60"/>
  <c r="I60"/>
  <c r="H60"/>
  <c r="G60"/>
  <c r="B60"/>
  <c r="R59"/>
  <c r="L59"/>
  <c r="J59"/>
  <c r="I59"/>
  <c r="H59"/>
  <c r="G59"/>
  <c r="B59"/>
  <c r="R58"/>
  <c r="L58"/>
  <c r="J58"/>
  <c r="I58"/>
  <c r="H58"/>
  <c r="G58"/>
  <c r="B58"/>
  <c r="R57"/>
  <c r="L57"/>
  <c r="J57"/>
  <c r="I57"/>
  <c r="H57"/>
  <c r="G57"/>
  <c r="B57"/>
  <c r="R56"/>
  <c r="J56"/>
  <c r="I56"/>
  <c r="H56"/>
  <c r="G56"/>
  <c r="B56"/>
  <c r="R55"/>
  <c r="L55"/>
  <c r="J55"/>
  <c r="I55"/>
  <c r="H55"/>
  <c r="G55"/>
  <c r="B55"/>
  <c r="R54"/>
  <c r="L54"/>
  <c r="J54"/>
  <c r="I54"/>
  <c r="H54"/>
  <c r="G54"/>
  <c r="B54"/>
  <c r="R53"/>
  <c r="L53"/>
  <c r="J53"/>
  <c r="I53"/>
  <c r="H53"/>
  <c r="G53"/>
  <c r="B53"/>
  <c r="R52"/>
  <c r="L52"/>
  <c r="J52"/>
  <c r="I52"/>
  <c r="H52"/>
  <c r="G52"/>
  <c r="B52"/>
  <c r="R51"/>
  <c r="L51"/>
  <c r="J51"/>
  <c r="I51"/>
  <c r="H51"/>
  <c r="G51"/>
  <c r="B51"/>
  <c r="R50"/>
  <c r="L50"/>
  <c r="J50"/>
  <c r="I50"/>
  <c r="H50"/>
  <c r="G50"/>
  <c r="B50"/>
  <c r="R49"/>
  <c r="L49"/>
  <c r="J49"/>
  <c r="I49"/>
  <c r="H49"/>
  <c r="G49"/>
  <c r="B49"/>
  <c r="R48"/>
  <c r="L48"/>
  <c r="J48"/>
  <c r="I48"/>
  <c r="H48"/>
  <c r="G48"/>
  <c r="B48"/>
  <c r="R47"/>
  <c r="L47"/>
  <c r="J47"/>
  <c r="I47"/>
  <c r="H47"/>
  <c r="G47"/>
  <c r="B47"/>
  <c r="R46"/>
  <c r="L46"/>
  <c r="J46"/>
  <c r="I46"/>
  <c r="H46"/>
  <c r="G46"/>
  <c r="B46"/>
  <c r="R45"/>
  <c r="L45"/>
  <c r="J45"/>
  <c r="I45"/>
  <c r="H45"/>
  <c r="G45"/>
  <c r="B45"/>
  <c r="R44"/>
  <c r="L44"/>
  <c r="J44"/>
  <c r="I44"/>
  <c r="H44"/>
  <c r="G44"/>
  <c r="B44"/>
  <c r="R43"/>
  <c r="L43"/>
  <c r="J43"/>
  <c r="I43"/>
  <c r="H43"/>
  <c r="G43"/>
  <c r="B43"/>
  <c r="R42"/>
  <c r="L42"/>
  <c r="J42"/>
  <c r="I42"/>
  <c r="H42"/>
  <c r="G42"/>
  <c r="B42"/>
  <c r="R41"/>
  <c r="L41"/>
  <c r="J41"/>
  <c r="I41"/>
  <c r="H41"/>
  <c r="G41"/>
  <c r="B41"/>
  <c r="R40"/>
  <c r="L40"/>
  <c r="J40"/>
  <c r="I40"/>
  <c r="H40"/>
  <c r="G40"/>
  <c r="B40"/>
  <c r="R39"/>
  <c r="L39"/>
  <c r="J39"/>
  <c r="I39"/>
  <c r="H39"/>
  <c r="G39"/>
  <c r="B39"/>
  <c r="R38"/>
  <c r="L38"/>
  <c r="J38"/>
  <c r="I38"/>
  <c r="H38"/>
  <c r="G38"/>
  <c r="B38"/>
  <c r="R37"/>
  <c r="L37"/>
  <c r="J37"/>
  <c r="I37"/>
  <c r="H37"/>
  <c r="G37"/>
  <c r="B37"/>
  <c r="R36"/>
  <c r="L36"/>
  <c r="J36"/>
  <c r="I36"/>
  <c r="H36"/>
  <c r="G36"/>
  <c r="B36"/>
  <c r="R35"/>
  <c r="L35"/>
  <c r="J35"/>
  <c r="I35"/>
  <c r="H35"/>
  <c r="G35"/>
  <c r="B35"/>
  <c r="R34"/>
  <c r="L34"/>
  <c r="J34"/>
  <c r="I34"/>
  <c r="H34"/>
  <c r="G34"/>
  <c r="B34"/>
  <c r="R33"/>
  <c r="L33"/>
  <c r="J33"/>
  <c r="I33"/>
  <c r="H33"/>
  <c r="G33"/>
  <c r="B33"/>
  <c r="R32"/>
  <c r="L32"/>
  <c r="J32"/>
  <c r="I32"/>
  <c r="H32"/>
  <c r="G32"/>
  <c r="B32"/>
  <c r="R31"/>
  <c r="L31"/>
  <c r="J31"/>
  <c r="I31"/>
  <c r="H31"/>
  <c r="G31"/>
  <c r="B31"/>
  <c r="R30"/>
  <c r="L30"/>
  <c r="J30"/>
  <c r="I30"/>
  <c r="H30"/>
  <c r="G30"/>
  <c r="B30"/>
  <c r="R29"/>
  <c r="L29"/>
  <c r="J29"/>
  <c r="I29"/>
  <c r="H29"/>
  <c r="G29"/>
  <c r="B29"/>
  <c r="R28"/>
  <c r="L28"/>
  <c r="J28"/>
  <c r="I28"/>
  <c r="H28"/>
  <c r="G28"/>
  <c r="B28"/>
  <c r="R27"/>
  <c r="L27"/>
  <c r="J27"/>
  <c r="I27"/>
  <c r="H27"/>
  <c r="G27"/>
  <c r="B27"/>
  <c r="R26"/>
  <c r="L26"/>
  <c r="J26"/>
  <c r="I26"/>
  <c r="H26"/>
  <c r="G26"/>
  <c r="B26"/>
  <c r="R25"/>
  <c r="L25"/>
  <c r="J25"/>
  <c r="I25"/>
  <c r="H25"/>
  <c r="G25"/>
  <c r="B25"/>
  <c r="R24"/>
  <c r="L24"/>
  <c r="J24"/>
  <c r="I24"/>
  <c r="H24"/>
  <c r="G24"/>
  <c r="B24"/>
  <c r="R23"/>
  <c r="L23"/>
  <c r="J23"/>
  <c r="I23"/>
  <c r="H23"/>
  <c r="G23"/>
  <c r="B23"/>
  <c r="R22"/>
  <c r="L22"/>
  <c r="J22"/>
  <c r="I22"/>
  <c r="H22"/>
  <c r="G22"/>
  <c r="B22"/>
  <c r="R21"/>
  <c r="L21"/>
  <c r="J21"/>
  <c r="I21"/>
  <c r="H21"/>
  <c r="G21"/>
  <c r="B21"/>
  <c r="R20"/>
  <c r="L20"/>
  <c r="J20"/>
  <c r="I20"/>
  <c r="H20"/>
  <c r="G20"/>
  <c r="B20"/>
  <c r="R19"/>
  <c r="L19"/>
  <c r="J19"/>
  <c r="I19"/>
  <c r="H19"/>
  <c r="G19"/>
  <c r="B19"/>
  <c r="R18"/>
  <c r="L18"/>
  <c r="J18"/>
  <c r="I18"/>
  <c r="H18"/>
  <c r="G18"/>
  <c r="B18"/>
  <c r="R17"/>
  <c r="L17"/>
  <c r="J17"/>
  <c r="I17"/>
  <c r="H17"/>
  <c r="G17"/>
  <c r="B17"/>
  <c r="R16"/>
  <c r="L16"/>
  <c r="J16"/>
  <c r="I16"/>
  <c r="H16"/>
  <c r="G16"/>
  <c r="B16"/>
  <c r="R15"/>
  <c r="L15"/>
  <c r="J15"/>
  <c r="I15"/>
  <c r="H15"/>
  <c r="G15"/>
  <c r="B15"/>
  <c r="R14"/>
  <c r="L14"/>
  <c r="J14"/>
  <c r="I14"/>
  <c r="H14"/>
  <c r="G14"/>
  <c r="B14"/>
  <c r="R13"/>
  <c r="L13"/>
  <c r="J13"/>
  <c r="H13"/>
  <c r="B13" s="1"/>
  <c r="R12"/>
  <c r="L12"/>
  <c r="J12"/>
  <c r="H12"/>
  <c r="G12"/>
  <c r="I12" s="1"/>
  <c r="B12"/>
  <c r="R11"/>
  <c r="L11" s="1"/>
  <c r="R10"/>
  <c r="H10" s="1"/>
  <c r="B10" s="1"/>
  <c r="L10"/>
  <c r="J10"/>
  <c r="R9"/>
  <c r="J9" s="1"/>
  <c r="R8"/>
  <c r="J8" s="1"/>
  <c r="R7"/>
  <c r="J7" s="1"/>
  <c r="H11" l="1"/>
  <c r="G11" s="1"/>
  <c r="I11" s="1"/>
  <c r="H7"/>
  <c r="B7" s="1"/>
  <c r="J11"/>
  <c r="L9"/>
  <c r="H9"/>
  <c r="B9" s="1"/>
  <c r="H8"/>
  <c r="G8" s="1"/>
  <c r="I8" s="1"/>
  <c r="L8"/>
  <c r="G13"/>
  <c r="I13" s="1"/>
  <c r="G10"/>
  <c r="I10" s="1"/>
  <c r="L7"/>
  <c r="B11" l="1"/>
  <c r="G7"/>
  <c r="I7" s="1"/>
  <c r="G9"/>
  <c r="I9" s="1"/>
  <c r="B8"/>
</calcChain>
</file>

<file path=xl/sharedStrings.xml><?xml version="1.0" encoding="utf-8"?>
<sst xmlns="http://schemas.openxmlformats.org/spreadsheetml/2006/main" count="109" uniqueCount="97">
  <si>
    <t>Estimated</t>
  </si>
  <si>
    <r>
      <rPr>
        <b/>
        <sz val="10"/>
        <color theme="9" tint="-0.249977111117893"/>
        <rFont val="微软雅黑"/>
        <family val="2"/>
        <charset val="134"/>
      </rPr>
      <t>※ 重点提示：以下内容全部为个人日记总结记录，仅限交流使用，不构成任何投资建议，请大家谨慎投资，全部风险自负。（货币单位：A股人民币、H/B股港元、美股/其它为美元，请注意汇率换算），</t>
    </r>
    <r>
      <rPr>
        <b/>
        <sz val="10"/>
        <color rgb="FF00B0F0"/>
        <rFont val="微软雅黑"/>
        <family val="2"/>
        <charset val="134"/>
      </rPr>
      <t>股价除权后，请注意股本的变化，请对应更新日期自行换算除权影响。</t>
    </r>
  </si>
  <si>
    <t>*表示处于景气周期中，阶段性高估</t>
  </si>
  <si>
    <t>安全
系数</t>
  </si>
  <si>
    <t>公司</t>
  </si>
  <si>
    <t>看点</t>
  </si>
  <si>
    <r>
      <rPr>
        <b/>
        <sz val="9"/>
        <color theme="1"/>
        <rFont val="微软雅黑"/>
        <family val="2"/>
        <charset val="134"/>
      </rPr>
      <t xml:space="preserve">景气指数
</t>
    </r>
    <r>
      <rPr>
        <b/>
        <sz val="8"/>
        <color theme="1"/>
        <rFont val="微软雅黑"/>
        <family val="2"/>
        <charset val="134"/>
      </rPr>
      <t>（0-200）</t>
    </r>
  </si>
  <si>
    <t>当前
股价</t>
  </si>
  <si>
    <t>合理
价位</t>
  </si>
  <si>
    <t>理想
买点</t>
  </si>
  <si>
    <t>减仓
价位</t>
  </si>
  <si>
    <t>1年内
卖点</t>
  </si>
  <si>
    <t>当前
市值</t>
  </si>
  <si>
    <t>3年后
理想估值</t>
  </si>
  <si>
    <t>年内
涨幅</t>
  </si>
  <si>
    <t>风险追踪</t>
  </si>
  <si>
    <t>更新
日期</t>
  </si>
  <si>
    <t>CAGR（E）</t>
  </si>
  <si>
    <t>PE
(2025-2027E)</t>
  </si>
  <si>
    <t>PEG
(E)</t>
  </si>
  <si>
    <t>字母A和E分别为actual和estimate的简写</t>
  </si>
  <si>
    <t>小于＜</t>
  </si>
  <si>
    <t>高于＞</t>
  </si>
  <si>
    <t>（亿）</t>
  </si>
  <si>
    <t>（%）</t>
  </si>
  <si>
    <t>XXXX</t>
  </si>
  <si>
    <t>XXX</t>
  </si>
  <si>
    <r>
      <t xml:space="preserve">PE区间估值法原始表格
</t>
    </r>
    <r>
      <rPr>
        <sz val="12"/>
        <color rgb="FFFFFFFF"/>
        <rFont val="思源宋体 CN SemiBold"/>
        <charset val="134"/>
      </rPr>
      <t>风险提示：以下内容均为个人思考分享，仅作为学习交流使用，不构成任何投资建议；表格内容一定要注意更新日期，如后续有股本（除权）等变化，需要根据实际情况重新计算每股收益；本号不对由此造成的一切损失承担任何责任，股市有风险，投资需谨慎！切记，切记。</t>
    </r>
  </si>
  <si>
    <t>分类</t>
  </si>
  <si>
    <t>股票代码</t>
  </si>
  <si>
    <t>股票名称</t>
  </si>
  <si>
    <t>核心竞争力</t>
  </si>
  <si>
    <t>预估未来3年每股平均收益</t>
  </si>
  <si>
    <t>PE估值区间</t>
  </si>
  <si>
    <t>加仓点</t>
  </si>
  <si>
    <t>减仓点</t>
  </si>
  <si>
    <t>竞争力评分</t>
  </si>
  <si>
    <t>总股本(亿)</t>
  </si>
  <si>
    <t>收盘价</t>
  </si>
  <si>
    <t>当前评级</t>
  </si>
  <si>
    <t>更新时间</t>
  </si>
  <si>
    <t>酒</t>
  </si>
  <si>
    <t>600XXX.SH</t>
  </si>
  <si>
    <t>白酒龙头，酱香一哥、社交属性</t>
  </si>
  <si>
    <t>合理</t>
  </si>
  <si>
    <t>2024.09.01</t>
  </si>
  <si>
    <t>医</t>
  </si>
  <si>
    <t>食</t>
  </si>
  <si>
    <t>房</t>
  </si>
  <si>
    <t>家 
电</t>
  </si>
  <si>
    <t>车</t>
  </si>
  <si>
    <t>银   
行</t>
  </si>
  <si>
    <t>保
险</t>
  </si>
  <si>
    <t>能
源</t>
  </si>
  <si>
    <r>
      <rPr>
        <b/>
        <sz val="16"/>
        <color theme="1"/>
        <rFont val="微软雅黑"/>
        <family val="2"/>
        <charset val="134"/>
      </rPr>
      <t>化</t>
    </r>
    <r>
      <rPr>
        <b/>
        <sz val="16"/>
        <color theme="1"/>
        <rFont val="宋体"/>
        <family val="3"/>
        <charset val="134"/>
        <scheme val="minor"/>
      </rPr>
      <t xml:space="preserve">
</t>
    </r>
    <r>
      <rPr>
        <b/>
        <sz val="16"/>
        <color theme="1"/>
        <rFont val="微软雅黑"/>
        <family val="2"/>
        <charset val="134"/>
      </rPr>
      <t>工</t>
    </r>
  </si>
  <si>
    <t>电
池</t>
  </si>
  <si>
    <t>矿</t>
  </si>
  <si>
    <t>光
伏</t>
  </si>
  <si>
    <t>半    导                 体</t>
  </si>
  <si>
    <t>设
备</t>
  </si>
  <si>
    <t>AI</t>
  </si>
  <si>
    <t>电
子</t>
  </si>
  <si>
    <t>制
造</t>
  </si>
  <si>
    <t>运
输</t>
  </si>
  <si>
    <t>大消费</t>
  </si>
  <si>
    <t>媒体</t>
  </si>
  <si>
    <t>主要指数及ETF估值 ( 统计日期：2025.12.31）</t>
  </si>
  <si>
    <t>主要指数</t>
  </si>
  <si>
    <t>点位</t>
  </si>
  <si>
    <t>年内涨幅
(%)</t>
  </si>
  <si>
    <t>当前(TTM)
市盈率</t>
  </si>
  <si>
    <t>10年平均
市盈率</t>
  </si>
  <si>
    <t>10年分位点
（%）</t>
  </si>
  <si>
    <t>修正后
分位点</t>
  </si>
  <si>
    <t>估值</t>
  </si>
  <si>
    <t>加权</t>
  </si>
  <si>
    <t>上证指数</t>
  </si>
  <si>
    <t>深证成指</t>
  </si>
  <si>
    <t>创业板指</t>
  </si>
  <si>
    <t>N/A</t>
  </si>
  <si>
    <t>恒生指数</t>
  </si>
  <si>
    <t>低估</t>
  </si>
  <si>
    <t>沪深300</t>
  </si>
  <si>
    <t>科创50</t>
  </si>
  <si>
    <t>中证A50</t>
  </si>
  <si>
    <t>wind全A</t>
  </si>
  <si>
    <r>
      <rPr>
        <b/>
        <sz val="9"/>
        <color rgb="FFFF0000"/>
        <rFont val="微软雅黑"/>
        <family val="2"/>
        <charset val="134"/>
      </rPr>
      <t xml:space="preserve">※ </t>
    </r>
    <r>
      <rPr>
        <b/>
        <sz val="9"/>
        <color theme="1"/>
        <rFont val="微软雅黑"/>
        <family val="2"/>
        <charset val="134"/>
      </rPr>
      <t>说明（十年分位点%）</t>
    </r>
    <r>
      <rPr>
        <sz val="9"/>
        <color theme="1"/>
        <rFont val="微软雅黑"/>
        <family val="2"/>
        <charset val="134"/>
      </rPr>
      <t xml:space="preserve">：≥90（严重高估），75-90百分位（高估），25-75（合理），10-25（低估），≤10（严重低估），以上均为菜头个人主观判断，无科学标准。科创50成立时间较短，分位点波动加大，谨慎参考。考虑到未来A股的估值变化，菜头个人加权修正（主观判断，无科学依据）
</t>
    </r>
    <r>
      <rPr>
        <b/>
        <sz val="9"/>
        <color theme="1"/>
        <rFont val="微软雅黑"/>
        <family val="2"/>
        <charset val="134"/>
      </rPr>
      <t>修正规则：</t>
    </r>
    <r>
      <rPr>
        <sz val="9"/>
        <color theme="1"/>
        <rFont val="微软雅黑"/>
        <family val="2"/>
        <charset val="134"/>
      </rPr>
      <t>①上证指数分位*90%；② 深圳成指分位*125%；③沪深300指数分位*85%；④中证A50指数分位*85%；其他保持不变。</t>
    </r>
  </si>
  <si>
    <r>
      <rPr>
        <b/>
        <sz val="9"/>
        <color rgb="FFFF0000"/>
        <rFont val="微软雅黑"/>
        <family val="2"/>
        <charset val="134"/>
      </rPr>
      <t xml:space="preserve">※ ETF </t>
    </r>
    <r>
      <rPr>
        <b/>
        <sz val="9"/>
        <color theme="1"/>
        <rFont val="微软雅黑"/>
        <family val="2"/>
        <charset val="134"/>
      </rPr>
      <t>定投建议</t>
    </r>
    <r>
      <rPr>
        <sz val="9"/>
        <color theme="1"/>
        <rFont val="微软雅黑"/>
        <family val="2"/>
        <charset val="134"/>
      </rPr>
      <t>：严重高估：无定投，保存现金，高估：定投25%，合理：定投50%，低估：定投75%，严重低估：全仓买入。</t>
    </r>
    <r>
      <rPr>
        <b/>
        <sz val="9"/>
        <color rgb="FFFF0000"/>
        <rFont val="微软雅黑"/>
        <family val="2"/>
        <charset val="134"/>
      </rPr>
      <t>特别说明：</t>
    </r>
    <r>
      <rPr>
        <sz val="9"/>
        <color theme="1"/>
        <rFont val="微软雅黑"/>
        <family val="2"/>
        <charset val="134"/>
      </rPr>
      <t>以上同样仅代表菜头个人操作方式，核心思路就是越跌越买，但长期经验表明，行情波动较大的时候，此方法可以获得不错收益，请谨慎投资。</t>
    </r>
  </si>
  <si>
    <t>【股票估值计算方法】数据更新时间：</t>
    <phoneticPr fontId="34" type="noConversion"/>
  </si>
  <si>
    <t>中国海油600938</t>
    <phoneticPr fontId="34" type="noConversion"/>
  </si>
  <si>
    <t>牧原股份002714</t>
    <phoneticPr fontId="34" type="noConversion"/>
  </si>
  <si>
    <t>长江电力600900</t>
    <phoneticPr fontId="34" type="noConversion"/>
  </si>
  <si>
    <t>中国平安601318</t>
    <phoneticPr fontId="34" type="noConversion"/>
  </si>
  <si>
    <t>海尔智家600690</t>
    <phoneticPr fontId="34" type="noConversion"/>
  </si>
  <si>
    <t>美的集团000333</t>
    <phoneticPr fontId="34" type="noConversion"/>
  </si>
  <si>
    <t>理想买点：P/PEG*0.75*Prosperity index
1年内卖点：P/PEG*2*Prosperity index
3年后估值：CAP/PEG*(1+G)^3*Prosperity index</t>
    <phoneticPr fontId="34" type="noConversion"/>
  </si>
  <si>
    <t>特变电工600089</t>
    <phoneticPr fontId="34" type="noConversion"/>
  </si>
</sst>
</file>

<file path=xl/styles.xml><?xml version="1.0" encoding="utf-8"?>
<styleSheet xmlns="http://schemas.openxmlformats.org/spreadsheetml/2006/main">
  <numFmts count="4">
    <numFmt numFmtId="176" formatCode="0.00_ "/>
    <numFmt numFmtId="177" formatCode="0.0_ "/>
    <numFmt numFmtId="178" formatCode="0_ "/>
    <numFmt numFmtId="179" formatCode="0.0%"/>
  </numFmts>
  <fonts count="35">
    <font>
      <sz val="11"/>
      <color theme="1"/>
      <name val="宋体"/>
      <charset val="134"/>
      <scheme val="minor"/>
    </font>
    <font>
      <b/>
      <sz val="14"/>
      <color rgb="FFFFFF00"/>
      <name val="微软雅黑"/>
      <family val="2"/>
    </font>
    <font>
      <b/>
      <sz val="14"/>
      <color theme="0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0"/>
      <color theme="1"/>
      <name val="微软雅黑"/>
      <family val="2"/>
    </font>
    <font>
      <b/>
      <sz val="9"/>
      <color rgb="FFFF0000"/>
      <name val="微软雅黑"/>
      <family val="2"/>
    </font>
    <font>
      <sz val="9"/>
      <color theme="1"/>
      <name val="微软雅黑"/>
      <family val="2"/>
    </font>
    <font>
      <b/>
      <sz val="11"/>
      <color theme="1"/>
      <name val="宋体"/>
      <scheme val="minor"/>
    </font>
    <font>
      <sz val="11"/>
      <color theme="0"/>
      <name val="微软雅黑"/>
      <family val="2"/>
    </font>
    <font>
      <sz val="12"/>
      <color theme="1"/>
      <name val="宋体"/>
      <scheme val="minor"/>
    </font>
    <font>
      <b/>
      <sz val="36"/>
      <color rgb="FFFFFFFF"/>
      <name val="思源宋体 CN SemiBold"/>
      <charset val="134"/>
    </font>
    <font>
      <b/>
      <sz val="36"/>
      <color theme="0"/>
      <name val="思源宋体 CN SemiBold"/>
      <charset val="134"/>
    </font>
    <font>
      <b/>
      <sz val="16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F71FF4"/>
      <name val="微软雅黑"/>
      <family val="2"/>
      <charset val="134"/>
    </font>
    <font>
      <sz val="12"/>
      <color theme="1"/>
      <name val="微软雅黑"/>
      <family val="2"/>
      <charset val="134"/>
    </font>
    <font>
      <sz val="36"/>
      <color rgb="FF000000"/>
      <name val="宋体"/>
      <family val="3"/>
      <charset val="134"/>
    </font>
    <font>
      <sz val="12"/>
      <color rgb="FFFF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2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rgb="FFFF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16"/>
      <color theme="1"/>
      <name val="宋体"/>
      <family val="3"/>
      <charset val="134"/>
      <scheme val="minor"/>
    </font>
    <font>
      <sz val="12"/>
      <color rgb="FFFFFFFF"/>
      <name val="思源宋体 CN SemiBold"/>
      <charset val="134"/>
    </font>
    <font>
      <b/>
      <sz val="10"/>
      <color rgb="FF00B0F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176" fontId="4" fillId="0" borderId="1" xfId="0" applyNumberFormat="1" applyFont="1" applyBorder="1" applyAlignment="1">
      <alignment horizontal="right" vertical="center"/>
    </xf>
    <xf numFmtId="176" fontId="5" fillId="5" borderId="1" xfId="0" applyNumberFormat="1" applyFont="1" applyFill="1" applyBorder="1" applyAlignment="1" applyProtection="1">
      <alignment horizontal="center" vertical="center" wrapText="1"/>
    </xf>
    <xf numFmtId="176" fontId="3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left"/>
    </xf>
    <xf numFmtId="0" fontId="13" fillId="4" borderId="2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center"/>
    </xf>
    <xf numFmtId="0" fontId="14" fillId="0" borderId="1" xfId="0" applyNumberFormat="1" applyFont="1" applyFill="1" applyBorder="1" applyAlignment="1">
      <alignment horizontal="left"/>
    </xf>
    <xf numFmtId="0" fontId="13" fillId="0" borderId="1" xfId="0" applyNumberFormat="1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/>
    </xf>
    <xf numFmtId="0" fontId="14" fillId="0" borderId="1" xfId="0" applyNumberFormat="1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0" xfId="0" applyNumberFormat="1" applyFont="1" applyFill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/>
    </xf>
    <xf numFmtId="0" fontId="10" fillId="0" borderId="0" xfId="0" applyNumberFormat="1" applyFont="1" applyFill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center"/>
    </xf>
    <xf numFmtId="0" fontId="16" fillId="0" borderId="0" xfId="0" applyFont="1" applyFill="1" applyAlignment="1"/>
    <xf numFmtId="0" fontId="16" fillId="0" borderId="0" xfId="0" applyFont="1" applyFill="1" applyAlignment="1">
      <alignment horizont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8" fontId="0" fillId="0" borderId="0" xfId="0" applyNumberFormat="1" applyAlignment="1">
      <alignment vertical="center" wrapText="1"/>
    </xf>
    <xf numFmtId="0" fontId="7" fillId="0" borderId="0" xfId="0" applyFont="1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178" fontId="23" fillId="4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Border="1">
      <alignment vertical="center"/>
    </xf>
    <xf numFmtId="0" fontId="7" fillId="5" borderId="1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vertical="center"/>
    </xf>
    <xf numFmtId="177" fontId="23" fillId="5" borderId="1" xfId="0" applyNumberFormat="1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178" fontId="23" fillId="5" borderId="1" xfId="0" applyNumberFormat="1" applyFont="1" applyFill="1" applyBorder="1">
      <alignment vertical="center"/>
    </xf>
    <xf numFmtId="178" fontId="23" fillId="0" borderId="1" xfId="0" applyNumberFormat="1" applyFont="1" applyFill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177" fontId="23" fillId="0" borderId="1" xfId="0" applyNumberFormat="1" applyFont="1" applyFill="1" applyBorder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 wrapText="1"/>
    </xf>
    <xf numFmtId="178" fontId="7" fillId="5" borderId="1" xfId="0" applyNumberFormat="1" applyFont="1" applyFill="1" applyBorder="1" applyAlignment="1">
      <alignment vertical="center" wrapText="1"/>
    </xf>
    <xf numFmtId="176" fontId="25" fillId="5" borderId="1" xfId="0" applyNumberFormat="1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176" fontId="25" fillId="0" borderId="1" xfId="0" applyNumberFormat="1" applyFont="1" applyFill="1" applyBorder="1" applyAlignment="1">
      <alignment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178" fontId="7" fillId="0" borderId="1" xfId="0" applyNumberFormat="1" applyFont="1" applyFill="1" applyBorder="1" applyAlignment="1">
      <alignment vertical="center" wrapText="1"/>
    </xf>
    <xf numFmtId="0" fontId="25" fillId="0" borderId="1" xfId="0" applyFont="1" applyFill="1" applyBorder="1" applyAlignment="1">
      <alignment vertical="center" wrapText="1"/>
    </xf>
    <xf numFmtId="179" fontId="7" fillId="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77" fontId="7" fillId="5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6" fontId="26" fillId="0" borderId="1" xfId="0" applyNumberFormat="1" applyFont="1" applyFill="1" applyBorder="1" applyAlignment="1">
      <alignment vertical="center" wrapText="1"/>
    </xf>
    <xf numFmtId="178" fontId="26" fillId="0" borderId="1" xfId="0" applyNumberFormat="1" applyFont="1" applyFill="1" applyBorder="1">
      <alignment vertical="center"/>
    </xf>
    <xf numFmtId="177" fontId="7" fillId="5" borderId="1" xfId="0" applyNumberFormat="1" applyFont="1" applyFill="1" applyBorder="1" applyAlignment="1">
      <alignment vertical="center" wrapText="1"/>
    </xf>
    <xf numFmtId="178" fontId="26" fillId="0" borderId="1" xfId="0" applyNumberFormat="1" applyFont="1" applyFill="1" applyBorder="1" applyAlignment="1">
      <alignment vertical="center" wrapText="1"/>
    </xf>
    <xf numFmtId="0" fontId="26" fillId="0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4" fontId="2" fillId="2" borderId="11" xfId="0" applyNumberFormat="1" applyFont="1" applyFill="1" applyBorder="1" applyAlignment="1">
      <alignment vertical="center" wrapText="1"/>
    </xf>
    <xf numFmtId="14" fontId="2" fillId="2" borderId="14" xfId="0" applyNumberFormat="1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 wrapText="1"/>
    </xf>
    <xf numFmtId="176" fontId="23" fillId="4" borderId="1" xfId="0" applyNumberFormat="1" applyFont="1" applyFill="1" applyBorder="1" applyAlignment="1">
      <alignment horizontal="center" vertical="center" wrapText="1"/>
    </xf>
    <xf numFmtId="176" fontId="23" fillId="4" borderId="1" xfId="0" applyNumberFormat="1" applyFont="1" applyFill="1" applyBorder="1" applyAlignment="1">
      <alignment horizontal="center" vertical="center"/>
    </xf>
    <xf numFmtId="176" fontId="24" fillId="4" borderId="1" xfId="0" applyNumberFormat="1" applyFont="1" applyFill="1" applyBorder="1" applyAlignment="1">
      <alignment horizontal="center" vertical="center" wrapText="1"/>
    </xf>
    <xf numFmtId="178" fontId="23" fillId="4" borderId="3" xfId="0" applyNumberFormat="1" applyFont="1" applyFill="1" applyBorder="1" applyAlignment="1">
      <alignment horizontal="center" vertical="center" wrapText="1"/>
    </xf>
    <xf numFmtId="178" fontId="23" fillId="4" borderId="5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 wrapText="1"/>
    </xf>
    <xf numFmtId="176" fontId="24" fillId="0" borderId="1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 wrapText="1"/>
    </xf>
    <xf numFmtId="14" fontId="2" fillId="2" borderId="11" xfId="0" applyNumberFormat="1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center" wrapText="1"/>
    </xf>
    <xf numFmtId="14" fontId="2" fillId="2" borderId="1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Alignment="1">
      <alignment horizontal="left" wrapText="1"/>
    </xf>
    <xf numFmtId="0" fontId="10" fillId="0" borderId="0" xfId="0" applyNumberFormat="1" applyFont="1" applyFill="1" applyAlignment="1">
      <alignment horizontal="left"/>
    </xf>
    <xf numFmtId="0" fontId="21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Alignment="1">
      <alignment horizontal="center" vertical="center" wrapText="1"/>
    </xf>
    <xf numFmtId="0" fontId="12" fillId="2" borderId="0" xfId="0" applyNumberFormat="1" applyFont="1" applyFill="1" applyAlignment="1">
      <alignment horizontal="center" vertical="center" wrapText="1"/>
    </xf>
    <xf numFmtId="0" fontId="12" fillId="2" borderId="6" xfId="0" applyNumberFormat="1" applyFont="1" applyFill="1" applyBorder="1" applyAlignment="1">
      <alignment horizontal="center" vertical="center" wrapText="1"/>
    </xf>
    <xf numFmtId="0" fontId="13" fillId="4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67"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6" tint="0.39997558519241921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FFBC8B8F"/>
      <color rgb="FFEFEFEF"/>
      <color rgb="FFFFC000"/>
      <color rgb="FFFC85F5"/>
      <color rgb="FFF71F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2:XFB81"/>
  <sheetViews>
    <sheetView tabSelected="1" zoomScaleNormal="100" workbookViewId="0">
      <pane ySplit="6" topLeftCell="A7" activePane="bottomLeft" state="frozen"/>
      <selection pane="bottomLeft" activeCell="Q10" sqref="Q10"/>
    </sheetView>
  </sheetViews>
  <sheetFormatPr defaultColWidth="9" defaultRowHeight="14.25"/>
  <cols>
    <col min="1" max="1" width="9" style="42"/>
    <col min="2" max="2" width="7" style="42" customWidth="1"/>
    <col min="3" max="3" width="14.25" style="42" customWidth="1"/>
    <col min="4" max="4" width="13.875" style="42" customWidth="1"/>
    <col min="5" max="5" width="7.875" style="43" customWidth="1"/>
    <col min="6" max="6" width="7" style="44" customWidth="1"/>
    <col min="7" max="7" width="6.125" style="44" customWidth="1"/>
    <col min="8" max="10" width="6.125" style="45" customWidth="1"/>
    <col min="11" max="11" width="6.125" style="42" customWidth="1"/>
    <col min="12" max="12" width="5.875" style="45" customWidth="1"/>
    <col min="13" max="13" width="7.125" style="42" customWidth="1"/>
    <col min="14" max="14" width="13.375" style="42" customWidth="1"/>
    <col min="15" max="15" width="9" style="46" customWidth="1"/>
    <col min="16" max="17" width="8.625" style="43" customWidth="1"/>
    <col min="18" max="18" width="9.75" style="47" customWidth="1"/>
    <col min="19" max="19" width="31.5" style="42" customWidth="1"/>
    <col min="20" max="16382" width="9" style="42"/>
  </cols>
  <sheetData>
    <row r="2" spans="1:19" ht="13.5" customHeight="1">
      <c r="B2" s="100" t="s">
        <v>88</v>
      </c>
      <c r="C2" s="101"/>
      <c r="D2" s="101"/>
      <c r="E2" s="101"/>
      <c r="F2" s="101"/>
      <c r="G2" s="101"/>
      <c r="H2" s="101"/>
      <c r="I2" s="101"/>
      <c r="J2" s="101"/>
      <c r="K2" s="101"/>
      <c r="L2" s="86"/>
      <c r="M2" s="101">
        <f ca="1">TODAY()</f>
        <v>45900</v>
      </c>
      <c r="N2" s="101"/>
      <c r="O2" s="104"/>
      <c r="P2" s="106" t="s">
        <v>0</v>
      </c>
      <c r="Q2" s="107"/>
      <c r="R2" s="107"/>
    </row>
    <row r="3" spans="1:19" ht="13.5" customHeight="1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87"/>
      <c r="M3" s="103"/>
      <c r="N3" s="103"/>
      <c r="O3" s="105"/>
      <c r="P3" s="107"/>
      <c r="Q3" s="107"/>
      <c r="R3" s="107"/>
    </row>
    <row r="4" spans="1:19" ht="50.1" customHeight="1">
      <c r="B4" s="108" t="s">
        <v>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10"/>
      <c r="P4" s="111" t="s">
        <v>95</v>
      </c>
      <c r="Q4" s="111"/>
      <c r="R4" s="111"/>
      <c r="S4" s="46" t="s">
        <v>2</v>
      </c>
    </row>
    <row r="5" spans="1:19" ht="42.75">
      <c r="A5"/>
      <c r="B5" s="95" t="s">
        <v>3</v>
      </c>
      <c r="C5" s="97" t="s">
        <v>4</v>
      </c>
      <c r="D5" s="97" t="s">
        <v>5</v>
      </c>
      <c r="E5" s="94" t="s">
        <v>6</v>
      </c>
      <c r="F5" s="98" t="s">
        <v>7</v>
      </c>
      <c r="G5" s="91" t="s">
        <v>8</v>
      </c>
      <c r="H5" s="48" t="s">
        <v>9</v>
      </c>
      <c r="I5" s="92" t="s">
        <v>10</v>
      </c>
      <c r="J5" s="48" t="s">
        <v>11</v>
      </c>
      <c r="K5" s="63" t="s">
        <v>12</v>
      </c>
      <c r="L5" s="48" t="s">
        <v>13</v>
      </c>
      <c r="M5" s="63" t="s">
        <v>14</v>
      </c>
      <c r="N5" s="94" t="s">
        <v>15</v>
      </c>
      <c r="O5" s="88" t="s">
        <v>16</v>
      </c>
      <c r="P5" s="88" t="s">
        <v>17</v>
      </c>
      <c r="Q5" s="88" t="s">
        <v>18</v>
      </c>
      <c r="R5" s="89" t="s">
        <v>19</v>
      </c>
      <c r="S5" s="73" t="s">
        <v>20</v>
      </c>
    </row>
    <row r="6" spans="1:19">
      <c r="A6"/>
      <c r="B6" s="96"/>
      <c r="C6" s="97"/>
      <c r="D6" s="97"/>
      <c r="E6" s="97"/>
      <c r="F6" s="99"/>
      <c r="G6" s="91"/>
      <c r="H6" s="48" t="s">
        <v>21</v>
      </c>
      <c r="I6" s="93"/>
      <c r="J6" s="48" t="s">
        <v>22</v>
      </c>
      <c r="K6" s="63" t="s">
        <v>23</v>
      </c>
      <c r="L6" s="48" t="s">
        <v>23</v>
      </c>
      <c r="M6" s="63" t="s">
        <v>24</v>
      </c>
      <c r="N6" s="94"/>
      <c r="O6" s="88"/>
      <c r="P6" s="88"/>
      <c r="Q6" s="88"/>
      <c r="R6" s="90"/>
      <c r="S6" s="73" t="s">
        <v>20</v>
      </c>
    </row>
    <row r="7" spans="1:19">
      <c r="A7"/>
      <c r="B7" s="49">
        <f t="shared" ref="B7:B70" si="0">H7/F7</f>
        <v>0.67031250000000009</v>
      </c>
      <c r="C7" s="50" t="s">
        <v>94</v>
      </c>
      <c r="D7" s="50" t="s">
        <v>25</v>
      </c>
      <c r="E7" s="55">
        <v>110</v>
      </c>
      <c r="F7" s="52">
        <v>75.7</v>
      </c>
      <c r="G7" s="53">
        <f t="shared" ref="G7:G70" si="1">H7/0.75</f>
        <v>67.656875000000014</v>
      </c>
      <c r="H7" s="53">
        <f t="shared" ref="H7:H70" si="2">F7/R7*0.75*E7%</f>
        <v>50.74265625000001</v>
      </c>
      <c r="I7" s="53">
        <f t="shared" ref="I7:I70" si="3">G7*1.5</f>
        <v>101.48531250000002</v>
      </c>
      <c r="J7" s="64">
        <f t="shared" ref="J7:J70" si="4">F7/R7*2*E7%</f>
        <v>135.31375000000003</v>
      </c>
      <c r="K7" s="62">
        <v>5812</v>
      </c>
      <c r="L7" s="64">
        <f t="shared" ref="L7:L55" si="5">K7/R7*(1+P7)^3*E7%</f>
        <v>7495.0923940749972</v>
      </c>
      <c r="M7" s="65"/>
      <c r="N7" s="62" t="s">
        <v>26</v>
      </c>
      <c r="O7" s="61" t="s">
        <v>26</v>
      </c>
      <c r="P7" s="66">
        <v>0.13</v>
      </c>
      <c r="Q7" s="74">
        <v>16</v>
      </c>
      <c r="R7" s="75">
        <f t="shared" ref="R7:R70" si="6">Q7/(P7*100)</f>
        <v>1.2307692307692308</v>
      </c>
    </row>
    <row r="8" spans="1:19">
      <c r="A8"/>
      <c r="B8" s="49">
        <f t="shared" si="0"/>
        <v>0.88392857142857151</v>
      </c>
      <c r="C8" s="54" t="s">
        <v>93</v>
      </c>
      <c r="D8" s="54"/>
      <c r="E8" s="55">
        <v>110</v>
      </c>
      <c r="F8" s="52">
        <v>26.26</v>
      </c>
      <c r="G8" s="56">
        <f t="shared" si="1"/>
        <v>30.949285714285718</v>
      </c>
      <c r="H8" s="57">
        <f t="shared" si="2"/>
        <v>23.211964285714288</v>
      </c>
      <c r="I8" s="56">
        <f t="shared" si="3"/>
        <v>46.423928571428576</v>
      </c>
      <c r="J8" s="64">
        <f t="shared" si="4"/>
        <v>61.898571428571437</v>
      </c>
      <c r="K8" s="61">
        <v>2330</v>
      </c>
      <c r="L8" s="64">
        <f t="shared" si="5"/>
        <v>4176.4313839285705</v>
      </c>
      <c r="M8" s="67"/>
      <c r="N8" s="61"/>
      <c r="O8" s="61"/>
      <c r="P8" s="68">
        <v>0.15</v>
      </c>
      <c r="Q8" s="76">
        <v>14</v>
      </c>
      <c r="R8" s="77">
        <f t="shared" si="6"/>
        <v>0.93333333333333335</v>
      </c>
    </row>
    <row r="9" spans="1:19">
      <c r="A9"/>
      <c r="B9" s="49">
        <f t="shared" si="0"/>
        <v>0.82500000000000007</v>
      </c>
      <c r="C9" s="54" t="s">
        <v>92</v>
      </c>
      <c r="D9" s="54"/>
      <c r="E9" s="55">
        <v>110</v>
      </c>
      <c r="F9" s="52">
        <v>59.41</v>
      </c>
      <c r="G9" s="56">
        <f t="shared" si="1"/>
        <v>65.350999999999999</v>
      </c>
      <c r="H9" s="57">
        <f t="shared" si="2"/>
        <v>49.013249999999999</v>
      </c>
      <c r="I9" s="56">
        <f t="shared" si="3"/>
        <v>98.026499999999999</v>
      </c>
      <c r="J9" s="64">
        <f t="shared" si="4"/>
        <v>130.702</v>
      </c>
      <c r="K9" s="61">
        <v>10900</v>
      </c>
      <c r="L9" s="64">
        <f t="shared" si="5"/>
        <v>15958.690000000008</v>
      </c>
      <c r="M9" s="67"/>
      <c r="N9" s="61"/>
      <c r="O9" s="61"/>
      <c r="P9" s="68">
        <v>0.1</v>
      </c>
      <c r="Q9" s="76">
        <v>10</v>
      </c>
      <c r="R9" s="77">
        <f t="shared" si="6"/>
        <v>1</v>
      </c>
    </row>
    <row r="10" spans="1:19">
      <c r="A10"/>
      <c r="B10" s="49">
        <f t="shared" si="0"/>
        <v>0.60000000000000009</v>
      </c>
      <c r="C10" s="50" t="s">
        <v>91</v>
      </c>
      <c r="D10" s="50"/>
      <c r="E10" s="51">
        <v>100</v>
      </c>
      <c r="F10" s="52">
        <v>30.4</v>
      </c>
      <c r="G10" s="53">
        <f t="shared" si="1"/>
        <v>24.320000000000004</v>
      </c>
      <c r="H10" s="53">
        <f t="shared" si="2"/>
        <v>18.240000000000002</v>
      </c>
      <c r="I10" s="53">
        <f t="shared" si="3"/>
        <v>36.480000000000004</v>
      </c>
      <c r="J10" s="64">
        <f t="shared" si="4"/>
        <v>48.64</v>
      </c>
      <c r="K10" s="62">
        <v>7438</v>
      </c>
      <c r="L10" s="64">
        <f t="shared" si="5"/>
        <v>10282.2912</v>
      </c>
      <c r="M10" s="69"/>
      <c r="N10" s="62"/>
      <c r="O10" s="61"/>
      <c r="P10" s="66">
        <v>0.2</v>
      </c>
      <c r="Q10" s="74">
        <v>25</v>
      </c>
      <c r="R10" s="75">
        <f t="shared" si="6"/>
        <v>1.25</v>
      </c>
    </row>
    <row r="11" spans="1:19">
      <c r="A11"/>
      <c r="B11" s="49">
        <f t="shared" si="0"/>
        <v>0.68750000000000022</v>
      </c>
      <c r="C11" s="50" t="s">
        <v>90</v>
      </c>
      <c r="D11" s="50"/>
      <c r="E11" s="51">
        <v>110</v>
      </c>
      <c r="F11" s="52">
        <v>41.14</v>
      </c>
      <c r="G11" s="53">
        <f t="shared" si="1"/>
        <v>37.71166666666668</v>
      </c>
      <c r="H11" s="53">
        <f t="shared" si="2"/>
        <v>28.283750000000008</v>
      </c>
      <c r="I11" s="53">
        <f t="shared" si="3"/>
        <v>56.567500000000024</v>
      </c>
      <c r="J11" s="64">
        <f t="shared" si="4"/>
        <v>75.423333333333346</v>
      </c>
      <c r="K11" s="62">
        <v>2247</v>
      </c>
      <c r="L11" s="64">
        <f t="shared" si="5"/>
        <v>2741.527250000001</v>
      </c>
      <c r="M11" s="65"/>
      <c r="N11" s="62"/>
      <c r="O11" s="61"/>
      <c r="P11" s="66">
        <v>0.1</v>
      </c>
      <c r="Q11" s="74">
        <v>12</v>
      </c>
      <c r="R11" s="75">
        <f t="shared" si="6"/>
        <v>1.2</v>
      </c>
    </row>
    <row r="12" spans="1:19">
      <c r="A12"/>
      <c r="B12" s="49" t="e">
        <f t="shared" si="0"/>
        <v>#DIV/0!</v>
      </c>
      <c r="C12" s="54" t="s">
        <v>89</v>
      </c>
      <c r="D12" s="54"/>
      <c r="E12" s="58">
        <v>95</v>
      </c>
      <c r="F12" s="52"/>
      <c r="G12" s="53" t="e">
        <f t="shared" si="1"/>
        <v>#DIV/0!</v>
      </c>
      <c r="H12" s="59" t="e">
        <f t="shared" si="2"/>
        <v>#DIV/0!</v>
      </c>
      <c r="I12" s="53" t="e">
        <f t="shared" si="3"/>
        <v>#DIV/0!</v>
      </c>
      <c r="J12" s="64" t="e">
        <f t="shared" si="4"/>
        <v>#DIV/0!</v>
      </c>
      <c r="K12" s="61"/>
      <c r="L12" s="70" t="e">
        <f t="shared" si="5"/>
        <v>#DIV/0!</v>
      </c>
      <c r="M12" s="71"/>
      <c r="N12" s="61"/>
      <c r="O12" s="61"/>
      <c r="P12" s="68"/>
      <c r="Q12" s="76"/>
      <c r="R12" s="77" t="e">
        <f t="shared" si="6"/>
        <v>#DIV/0!</v>
      </c>
    </row>
    <row r="13" spans="1:19">
      <c r="A13"/>
      <c r="B13" s="49" t="e">
        <f t="shared" si="0"/>
        <v>#DIV/0!</v>
      </c>
      <c r="C13" s="54" t="s">
        <v>96</v>
      </c>
      <c r="D13" s="54"/>
      <c r="E13" s="58">
        <v>100</v>
      </c>
      <c r="F13" s="52"/>
      <c r="G13" s="53" t="e">
        <f t="shared" si="1"/>
        <v>#DIV/0!</v>
      </c>
      <c r="H13" s="59" t="e">
        <f t="shared" si="2"/>
        <v>#DIV/0!</v>
      </c>
      <c r="I13" s="53" t="e">
        <f t="shared" si="3"/>
        <v>#DIV/0!</v>
      </c>
      <c r="J13" s="64" t="e">
        <f t="shared" si="4"/>
        <v>#DIV/0!</v>
      </c>
      <c r="K13" s="61"/>
      <c r="L13" s="70" t="e">
        <f t="shared" si="5"/>
        <v>#DIV/0!</v>
      </c>
      <c r="M13" s="71"/>
      <c r="N13" s="61"/>
      <c r="O13" s="61"/>
      <c r="P13" s="68"/>
      <c r="Q13" s="76"/>
      <c r="R13" s="77" t="e">
        <f t="shared" si="6"/>
        <v>#DIV/0!</v>
      </c>
    </row>
    <row r="14" spans="1:19">
      <c r="A14"/>
      <c r="B14" s="49" t="e">
        <f t="shared" si="0"/>
        <v>#DIV/0!</v>
      </c>
      <c r="C14" s="54"/>
      <c r="D14" s="54"/>
      <c r="E14" s="58"/>
      <c r="F14" s="52"/>
      <c r="G14" s="53" t="e">
        <f t="shared" si="1"/>
        <v>#DIV/0!</v>
      </c>
      <c r="H14" s="59" t="e">
        <f t="shared" si="2"/>
        <v>#DIV/0!</v>
      </c>
      <c r="I14" s="53" t="e">
        <f t="shared" si="3"/>
        <v>#DIV/0!</v>
      </c>
      <c r="J14" s="64" t="e">
        <f t="shared" si="4"/>
        <v>#DIV/0!</v>
      </c>
      <c r="K14" s="61"/>
      <c r="L14" s="70" t="e">
        <f t="shared" si="5"/>
        <v>#DIV/0!</v>
      </c>
      <c r="M14" s="71"/>
      <c r="N14" s="61"/>
      <c r="O14" s="61"/>
      <c r="P14" s="68"/>
      <c r="Q14" s="76"/>
      <c r="R14" s="77" t="e">
        <f t="shared" si="6"/>
        <v>#DIV/0!</v>
      </c>
    </row>
    <row r="15" spans="1:19">
      <c r="A15"/>
      <c r="B15" s="49" t="e">
        <f t="shared" si="0"/>
        <v>#DIV/0!</v>
      </c>
      <c r="C15" s="50"/>
      <c r="D15" s="50"/>
      <c r="E15" s="60"/>
      <c r="F15" s="52"/>
      <c r="G15" s="53" t="e">
        <f t="shared" si="1"/>
        <v>#DIV/0!</v>
      </c>
      <c r="H15" s="53" t="e">
        <f t="shared" si="2"/>
        <v>#DIV/0!</v>
      </c>
      <c r="I15" s="53" t="e">
        <f t="shared" si="3"/>
        <v>#DIV/0!</v>
      </c>
      <c r="J15" s="64" t="e">
        <f t="shared" si="4"/>
        <v>#DIV/0!</v>
      </c>
      <c r="K15" s="62"/>
      <c r="L15" s="70" t="e">
        <f t="shared" si="5"/>
        <v>#DIV/0!</v>
      </c>
      <c r="M15" s="65"/>
      <c r="N15" s="62"/>
      <c r="O15" s="61"/>
      <c r="P15" s="66"/>
      <c r="Q15" s="74"/>
      <c r="R15" s="75" t="e">
        <f t="shared" si="6"/>
        <v>#DIV/0!</v>
      </c>
    </row>
    <row r="16" spans="1:19">
      <c r="A16"/>
      <c r="B16" s="49" t="e">
        <f t="shared" si="0"/>
        <v>#DIV/0!</v>
      </c>
      <c r="C16" s="61"/>
      <c r="D16" s="61"/>
      <c r="E16" s="58"/>
      <c r="F16" s="52"/>
      <c r="G16" s="53" t="e">
        <f t="shared" si="1"/>
        <v>#DIV/0!</v>
      </c>
      <c r="H16" s="59" t="e">
        <f t="shared" si="2"/>
        <v>#DIV/0!</v>
      </c>
      <c r="I16" s="53" t="e">
        <f t="shared" si="3"/>
        <v>#DIV/0!</v>
      </c>
      <c r="J16" s="64" t="e">
        <f t="shared" si="4"/>
        <v>#DIV/0!</v>
      </c>
      <c r="K16" s="61"/>
      <c r="L16" s="70" t="e">
        <f t="shared" si="5"/>
        <v>#DIV/0!</v>
      </c>
      <c r="M16" s="67"/>
      <c r="N16" s="61"/>
      <c r="O16" s="61"/>
      <c r="P16" s="68"/>
      <c r="Q16" s="76"/>
      <c r="R16" s="77" t="e">
        <f t="shared" si="6"/>
        <v>#DIV/0!</v>
      </c>
    </row>
    <row r="17" spans="1:18">
      <c r="A17"/>
      <c r="B17" s="49" t="e">
        <f t="shared" si="0"/>
        <v>#DIV/0!</v>
      </c>
      <c r="C17" s="54"/>
      <c r="D17" s="54"/>
      <c r="E17" s="58"/>
      <c r="F17" s="52"/>
      <c r="G17" s="53" t="e">
        <f t="shared" si="1"/>
        <v>#DIV/0!</v>
      </c>
      <c r="H17" s="59" t="e">
        <f t="shared" si="2"/>
        <v>#DIV/0!</v>
      </c>
      <c r="I17" s="53" t="e">
        <f t="shared" si="3"/>
        <v>#DIV/0!</v>
      </c>
      <c r="J17" s="64" t="e">
        <f t="shared" si="4"/>
        <v>#DIV/0!</v>
      </c>
      <c r="K17" s="61"/>
      <c r="L17" s="70" t="e">
        <f t="shared" si="5"/>
        <v>#DIV/0!</v>
      </c>
      <c r="M17" s="67"/>
      <c r="N17" s="61"/>
      <c r="O17" s="61"/>
      <c r="P17" s="68"/>
      <c r="Q17" s="76"/>
      <c r="R17" s="77" t="e">
        <f t="shared" si="6"/>
        <v>#DIV/0!</v>
      </c>
    </row>
    <row r="18" spans="1:18">
      <c r="A18"/>
      <c r="B18" s="49" t="e">
        <f t="shared" si="0"/>
        <v>#DIV/0!</v>
      </c>
      <c r="C18" s="61"/>
      <c r="D18" s="61"/>
      <c r="E18" s="58"/>
      <c r="F18" s="52"/>
      <c r="G18" s="56" t="e">
        <f t="shared" si="1"/>
        <v>#DIV/0!</v>
      </c>
      <c r="H18" s="57" t="e">
        <f t="shared" si="2"/>
        <v>#DIV/0!</v>
      </c>
      <c r="I18" s="56" t="e">
        <f t="shared" si="3"/>
        <v>#DIV/0!</v>
      </c>
      <c r="J18" s="64" t="e">
        <f t="shared" si="4"/>
        <v>#DIV/0!</v>
      </c>
      <c r="K18" s="61"/>
      <c r="L18" s="70" t="e">
        <f t="shared" si="5"/>
        <v>#DIV/0!</v>
      </c>
      <c r="M18" s="71"/>
      <c r="N18" s="61"/>
      <c r="O18" s="61"/>
      <c r="P18" s="68"/>
      <c r="Q18" s="76"/>
      <c r="R18" s="77" t="e">
        <f t="shared" si="6"/>
        <v>#DIV/0!</v>
      </c>
    </row>
    <row r="19" spans="1:18">
      <c r="A19"/>
      <c r="B19" s="49" t="e">
        <f t="shared" si="0"/>
        <v>#DIV/0!</v>
      </c>
      <c r="C19" s="54"/>
      <c r="D19" s="54"/>
      <c r="E19" s="58"/>
      <c r="F19" s="52"/>
      <c r="G19" s="56" t="e">
        <f t="shared" si="1"/>
        <v>#DIV/0!</v>
      </c>
      <c r="H19" s="57" t="e">
        <f t="shared" si="2"/>
        <v>#DIV/0!</v>
      </c>
      <c r="I19" s="56" t="e">
        <f t="shared" si="3"/>
        <v>#DIV/0!</v>
      </c>
      <c r="J19" s="64" t="e">
        <f t="shared" si="4"/>
        <v>#DIV/0!</v>
      </c>
      <c r="K19" s="61"/>
      <c r="L19" s="70" t="e">
        <f t="shared" si="5"/>
        <v>#DIV/0!</v>
      </c>
      <c r="M19" s="67"/>
      <c r="N19" s="61"/>
      <c r="O19" s="61"/>
      <c r="P19" s="68"/>
      <c r="Q19" s="76"/>
      <c r="R19" s="77" t="e">
        <f t="shared" si="6"/>
        <v>#DIV/0!</v>
      </c>
    </row>
    <row r="20" spans="1:18">
      <c r="A20"/>
      <c r="B20" s="49" t="e">
        <f t="shared" si="0"/>
        <v>#DIV/0!</v>
      </c>
      <c r="C20" s="54"/>
      <c r="D20" s="54"/>
      <c r="E20" s="58"/>
      <c r="F20" s="52"/>
      <c r="G20" s="56" t="e">
        <f t="shared" si="1"/>
        <v>#DIV/0!</v>
      </c>
      <c r="H20" s="57" t="e">
        <f t="shared" si="2"/>
        <v>#DIV/0!</v>
      </c>
      <c r="I20" s="56" t="e">
        <f t="shared" si="3"/>
        <v>#DIV/0!</v>
      </c>
      <c r="J20" s="64" t="e">
        <f t="shared" si="4"/>
        <v>#DIV/0!</v>
      </c>
      <c r="K20" s="61"/>
      <c r="L20" s="70" t="e">
        <f t="shared" si="5"/>
        <v>#DIV/0!</v>
      </c>
      <c r="M20" s="67"/>
      <c r="N20" s="61"/>
      <c r="O20" s="61"/>
      <c r="P20" s="68"/>
      <c r="Q20" s="76"/>
      <c r="R20" s="77" t="e">
        <f t="shared" si="6"/>
        <v>#DIV/0!</v>
      </c>
    </row>
    <row r="21" spans="1:18">
      <c r="A21"/>
      <c r="B21" s="49" t="e">
        <f t="shared" si="0"/>
        <v>#DIV/0!</v>
      </c>
      <c r="C21" s="54"/>
      <c r="D21" s="54"/>
      <c r="E21" s="58"/>
      <c r="F21" s="52"/>
      <c r="G21" s="56" t="e">
        <f t="shared" si="1"/>
        <v>#DIV/0!</v>
      </c>
      <c r="H21" s="57" t="e">
        <f t="shared" si="2"/>
        <v>#DIV/0!</v>
      </c>
      <c r="I21" s="56" t="e">
        <f t="shared" si="3"/>
        <v>#DIV/0!</v>
      </c>
      <c r="J21" s="64" t="e">
        <f t="shared" si="4"/>
        <v>#DIV/0!</v>
      </c>
      <c r="K21" s="61"/>
      <c r="L21" s="70" t="e">
        <f t="shared" si="5"/>
        <v>#DIV/0!</v>
      </c>
      <c r="M21" s="67"/>
      <c r="N21" s="61"/>
      <c r="O21" s="61"/>
      <c r="P21" s="68"/>
      <c r="Q21" s="76"/>
      <c r="R21" s="77" t="e">
        <f t="shared" si="6"/>
        <v>#DIV/0!</v>
      </c>
    </row>
    <row r="22" spans="1:18">
      <c r="A22"/>
      <c r="B22" s="49" t="e">
        <f t="shared" si="0"/>
        <v>#DIV/0!</v>
      </c>
      <c r="C22" s="54"/>
      <c r="D22" s="54"/>
      <c r="E22" s="58"/>
      <c r="F22" s="52"/>
      <c r="G22" s="53" t="e">
        <f t="shared" si="1"/>
        <v>#DIV/0!</v>
      </c>
      <c r="H22" s="57" t="e">
        <f t="shared" si="2"/>
        <v>#DIV/0!</v>
      </c>
      <c r="I22" s="56" t="e">
        <f t="shared" si="3"/>
        <v>#DIV/0!</v>
      </c>
      <c r="J22" s="64" t="e">
        <f t="shared" si="4"/>
        <v>#DIV/0!</v>
      </c>
      <c r="K22" s="61"/>
      <c r="L22" s="70" t="e">
        <f t="shared" si="5"/>
        <v>#DIV/0!</v>
      </c>
      <c r="M22" s="67"/>
      <c r="N22" s="61"/>
      <c r="O22" s="61"/>
      <c r="P22" s="68"/>
      <c r="Q22" s="76"/>
      <c r="R22" s="77" t="e">
        <f t="shared" si="6"/>
        <v>#DIV/0!</v>
      </c>
    </row>
    <row r="23" spans="1:18">
      <c r="A23"/>
      <c r="B23" s="49" t="e">
        <f t="shared" si="0"/>
        <v>#DIV/0!</v>
      </c>
      <c r="C23" s="54"/>
      <c r="D23" s="54"/>
      <c r="E23" s="58"/>
      <c r="F23" s="52"/>
      <c r="G23" s="53" t="e">
        <f t="shared" si="1"/>
        <v>#DIV/0!</v>
      </c>
      <c r="H23" s="57" t="e">
        <f t="shared" si="2"/>
        <v>#DIV/0!</v>
      </c>
      <c r="I23" s="56" t="e">
        <f t="shared" si="3"/>
        <v>#DIV/0!</v>
      </c>
      <c r="J23" s="64" t="e">
        <f t="shared" si="4"/>
        <v>#DIV/0!</v>
      </c>
      <c r="K23" s="61"/>
      <c r="L23" s="70" t="e">
        <f t="shared" si="5"/>
        <v>#DIV/0!</v>
      </c>
      <c r="M23" s="67"/>
      <c r="N23" s="61"/>
      <c r="O23" s="61"/>
      <c r="P23" s="68"/>
      <c r="Q23" s="76"/>
      <c r="R23" s="77" t="e">
        <f t="shared" si="6"/>
        <v>#DIV/0!</v>
      </c>
    </row>
    <row r="24" spans="1:18">
      <c r="A24"/>
      <c r="B24" s="49" t="e">
        <f t="shared" si="0"/>
        <v>#DIV/0!</v>
      </c>
      <c r="C24" s="54"/>
      <c r="D24" s="54"/>
      <c r="E24" s="58"/>
      <c r="F24" s="52"/>
      <c r="G24" s="53" t="e">
        <f t="shared" si="1"/>
        <v>#DIV/0!</v>
      </c>
      <c r="H24" s="57" t="e">
        <f t="shared" si="2"/>
        <v>#DIV/0!</v>
      </c>
      <c r="I24" s="56" t="e">
        <f t="shared" si="3"/>
        <v>#DIV/0!</v>
      </c>
      <c r="J24" s="64" t="e">
        <f t="shared" si="4"/>
        <v>#DIV/0!</v>
      </c>
      <c r="K24" s="61"/>
      <c r="L24" s="70" t="e">
        <f t="shared" si="5"/>
        <v>#DIV/0!</v>
      </c>
      <c r="M24" s="67"/>
      <c r="N24" s="61"/>
      <c r="O24" s="61"/>
      <c r="P24" s="68"/>
      <c r="Q24" s="76"/>
      <c r="R24" s="77" t="e">
        <f t="shared" si="6"/>
        <v>#DIV/0!</v>
      </c>
    </row>
    <row r="25" spans="1:18">
      <c r="A25"/>
      <c r="B25" s="49" t="e">
        <f t="shared" si="0"/>
        <v>#DIV/0!</v>
      </c>
      <c r="C25" s="61"/>
      <c r="D25" s="61"/>
      <c r="E25" s="58"/>
      <c r="F25" s="52"/>
      <c r="G25" s="53" t="e">
        <f t="shared" si="1"/>
        <v>#DIV/0!</v>
      </c>
      <c r="H25" s="59" t="e">
        <f t="shared" si="2"/>
        <v>#DIV/0!</v>
      </c>
      <c r="I25" s="53" t="e">
        <f t="shared" si="3"/>
        <v>#DIV/0!</v>
      </c>
      <c r="J25" s="64" t="e">
        <f t="shared" si="4"/>
        <v>#DIV/0!</v>
      </c>
      <c r="K25" s="61"/>
      <c r="L25" s="70" t="e">
        <f t="shared" si="5"/>
        <v>#DIV/0!</v>
      </c>
      <c r="M25" s="67"/>
      <c r="N25" s="61"/>
      <c r="O25" s="61"/>
      <c r="P25" s="68"/>
      <c r="Q25" s="76"/>
      <c r="R25" s="77" t="e">
        <f t="shared" si="6"/>
        <v>#DIV/0!</v>
      </c>
    </row>
    <row r="26" spans="1:18" hidden="1">
      <c r="A26"/>
      <c r="B26" s="49" t="e">
        <f t="shared" si="0"/>
        <v>#DIV/0!</v>
      </c>
      <c r="C26" s="61"/>
      <c r="D26" s="61"/>
      <c r="E26" s="58"/>
      <c r="F26" s="52"/>
      <c r="G26" s="53" t="e">
        <f t="shared" si="1"/>
        <v>#DIV/0!</v>
      </c>
      <c r="H26" s="59" t="e">
        <f t="shared" si="2"/>
        <v>#DIV/0!</v>
      </c>
      <c r="I26" s="53" t="e">
        <f t="shared" si="3"/>
        <v>#DIV/0!</v>
      </c>
      <c r="J26" s="64" t="e">
        <f t="shared" si="4"/>
        <v>#DIV/0!</v>
      </c>
      <c r="K26" s="61"/>
      <c r="L26" s="70" t="e">
        <f t="shared" si="5"/>
        <v>#DIV/0!</v>
      </c>
      <c r="M26" s="67"/>
      <c r="N26" s="61"/>
      <c r="O26" s="61"/>
      <c r="P26" s="68"/>
      <c r="Q26" s="76"/>
      <c r="R26" s="77" t="e">
        <f t="shared" si="6"/>
        <v>#DIV/0!</v>
      </c>
    </row>
    <row r="27" spans="1:18">
      <c r="A27"/>
      <c r="B27" s="49" t="e">
        <f t="shared" si="0"/>
        <v>#DIV/0!</v>
      </c>
      <c r="C27" s="61"/>
      <c r="D27" s="61"/>
      <c r="E27" s="58"/>
      <c r="F27" s="52"/>
      <c r="G27" s="53" t="e">
        <f t="shared" si="1"/>
        <v>#DIV/0!</v>
      </c>
      <c r="H27" s="59" t="e">
        <f t="shared" si="2"/>
        <v>#DIV/0!</v>
      </c>
      <c r="I27" s="53" t="e">
        <f t="shared" si="3"/>
        <v>#DIV/0!</v>
      </c>
      <c r="J27" s="64" t="e">
        <f t="shared" si="4"/>
        <v>#DIV/0!</v>
      </c>
      <c r="K27" s="61"/>
      <c r="L27" s="70" t="e">
        <f t="shared" si="5"/>
        <v>#DIV/0!</v>
      </c>
      <c r="M27" s="67"/>
      <c r="N27" s="61"/>
      <c r="O27" s="61"/>
      <c r="P27" s="68"/>
      <c r="Q27" s="76"/>
      <c r="R27" s="77" t="e">
        <f t="shared" si="6"/>
        <v>#DIV/0!</v>
      </c>
    </row>
    <row r="28" spans="1:18">
      <c r="A28"/>
      <c r="B28" s="49" t="e">
        <f t="shared" si="0"/>
        <v>#DIV/0!</v>
      </c>
      <c r="C28" s="61"/>
      <c r="D28" s="61"/>
      <c r="E28" s="58"/>
      <c r="F28" s="52"/>
      <c r="G28" s="53" t="e">
        <f t="shared" si="1"/>
        <v>#DIV/0!</v>
      </c>
      <c r="H28" s="59" t="e">
        <f t="shared" si="2"/>
        <v>#DIV/0!</v>
      </c>
      <c r="I28" s="53" t="e">
        <f t="shared" si="3"/>
        <v>#DIV/0!</v>
      </c>
      <c r="J28" s="64" t="e">
        <f t="shared" si="4"/>
        <v>#DIV/0!</v>
      </c>
      <c r="K28" s="61"/>
      <c r="L28" s="70" t="e">
        <f t="shared" si="5"/>
        <v>#DIV/0!</v>
      </c>
      <c r="M28" s="67"/>
      <c r="N28" s="61"/>
      <c r="O28" s="61"/>
      <c r="P28" s="68"/>
      <c r="Q28" s="76"/>
      <c r="R28" s="77" t="e">
        <f t="shared" si="6"/>
        <v>#DIV/0!</v>
      </c>
    </row>
    <row r="29" spans="1:18">
      <c r="A29"/>
      <c r="B29" s="49" t="e">
        <f t="shared" si="0"/>
        <v>#DIV/0!</v>
      </c>
      <c r="C29" s="61"/>
      <c r="D29" s="61"/>
      <c r="E29" s="58"/>
      <c r="F29" s="52"/>
      <c r="G29" s="53" t="e">
        <f t="shared" si="1"/>
        <v>#DIV/0!</v>
      </c>
      <c r="H29" s="59" t="e">
        <f t="shared" si="2"/>
        <v>#DIV/0!</v>
      </c>
      <c r="I29" s="53" t="e">
        <f t="shared" si="3"/>
        <v>#DIV/0!</v>
      </c>
      <c r="J29" s="64" t="e">
        <f t="shared" si="4"/>
        <v>#DIV/0!</v>
      </c>
      <c r="K29" s="61"/>
      <c r="L29" s="70" t="e">
        <f t="shared" si="5"/>
        <v>#DIV/0!</v>
      </c>
      <c r="M29" s="67"/>
      <c r="N29" s="61"/>
      <c r="O29" s="61"/>
      <c r="P29" s="68"/>
      <c r="Q29" s="76"/>
      <c r="R29" s="77" t="e">
        <f t="shared" si="6"/>
        <v>#DIV/0!</v>
      </c>
    </row>
    <row r="30" spans="1:18">
      <c r="A30"/>
      <c r="B30" s="49" t="e">
        <f t="shared" si="0"/>
        <v>#DIV/0!</v>
      </c>
      <c r="C30" s="61"/>
      <c r="D30" s="61"/>
      <c r="E30" s="58"/>
      <c r="F30" s="52"/>
      <c r="G30" s="53" t="e">
        <f t="shared" si="1"/>
        <v>#DIV/0!</v>
      </c>
      <c r="H30" s="59" t="e">
        <f t="shared" si="2"/>
        <v>#DIV/0!</v>
      </c>
      <c r="I30" s="53" t="e">
        <f t="shared" si="3"/>
        <v>#DIV/0!</v>
      </c>
      <c r="J30" s="64" t="e">
        <f t="shared" si="4"/>
        <v>#DIV/0!</v>
      </c>
      <c r="K30" s="61"/>
      <c r="L30" s="70" t="e">
        <f t="shared" si="5"/>
        <v>#DIV/0!</v>
      </c>
      <c r="M30" s="67"/>
      <c r="N30" s="61"/>
      <c r="O30" s="61"/>
      <c r="P30" s="68"/>
      <c r="Q30" s="76"/>
      <c r="R30" s="77" t="e">
        <f t="shared" si="6"/>
        <v>#DIV/0!</v>
      </c>
    </row>
    <row r="31" spans="1:18">
      <c r="A31"/>
      <c r="B31" s="49" t="e">
        <f t="shared" si="0"/>
        <v>#DIV/0!</v>
      </c>
      <c r="C31" s="61"/>
      <c r="D31" s="61"/>
      <c r="E31" s="58"/>
      <c r="F31" s="52"/>
      <c r="G31" s="53" t="e">
        <f t="shared" si="1"/>
        <v>#DIV/0!</v>
      </c>
      <c r="H31" s="59" t="e">
        <f t="shared" si="2"/>
        <v>#DIV/0!</v>
      </c>
      <c r="I31" s="53" t="e">
        <f t="shared" si="3"/>
        <v>#DIV/0!</v>
      </c>
      <c r="J31" s="64" t="e">
        <f t="shared" si="4"/>
        <v>#DIV/0!</v>
      </c>
      <c r="K31" s="61"/>
      <c r="L31" s="70" t="e">
        <f t="shared" si="5"/>
        <v>#DIV/0!</v>
      </c>
      <c r="M31" s="67"/>
      <c r="N31" s="61"/>
      <c r="O31" s="61"/>
      <c r="P31" s="68"/>
      <c r="Q31" s="76"/>
      <c r="R31" s="77" t="e">
        <f t="shared" si="6"/>
        <v>#DIV/0!</v>
      </c>
    </row>
    <row r="32" spans="1:18">
      <c r="A32"/>
      <c r="B32" s="49" t="e">
        <f t="shared" si="0"/>
        <v>#DIV/0!</v>
      </c>
      <c r="C32" s="61"/>
      <c r="D32" s="61"/>
      <c r="E32" s="58"/>
      <c r="F32" s="52"/>
      <c r="G32" s="56" t="e">
        <f t="shared" si="1"/>
        <v>#DIV/0!</v>
      </c>
      <c r="H32" s="57" t="e">
        <f t="shared" si="2"/>
        <v>#DIV/0!</v>
      </c>
      <c r="I32" s="56" t="e">
        <f t="shared" si="3"/>
        <v>#DIV/0!</v>
      </c>
      <c r="J32" s="64" t="e">
        <f t="shared" si="4"/>
        <v>#DIV/0!</v>
      </c>
      <c r="K32" s="61"/>
      <c r="L32" s="70" t="e">
        <f t="shared" si="5"/>
        <v>#DIV/0!</v>
      </c>
      <c r="M32" s="67"/>
      <c r="N32" s="61"/>
      <c r="O32" s="61"/>
      <c r="P32" s="68"/>
      <c r="Q32" s="76"/>
      <c r="R32" s="77" t="e">
        <f t="shared" si="6"/>
        <v>#DIV/0!</v>
      </c>
    </row>
    <row r="33" spans="1:18">
      <c r="A33"/>
      <c r="B33" s="49" t="e">
        <f t="shared" si="0"/>
        <v>#DIV/0!</v>
      </c>
      <c r="C33" s="50"/>
      <c r="D33" s="54"/>
      <c r="E33" s="55"/>
      <c r="F33" s="52"/>
      <c r="G33" s="53" t="e">
        <f t="shared" si="1"/>
        <v>#DIV/0!</v>
      </c>
      <c r="H33" s="59" t="e">
        <f t="shared" si="2"/>
        <v>#DIV/0!</v>
      </c>
      <c r="I33" s="53" t="e">
        <f t="shared" si="3"/>
        <v>#DIV/0!</v>
      </c>
      <c r="J33" s="64" t="e">
        <f t="shared" si="4"/>
        <v>#DIV/0!</v>
      </c>
      <c r="K33" s="61"/>
      <c r="L33" s="70" t="e">
        <f t="shared" si="5"/>
        <v>#DIV/0!</v>
      </c>
      <c r="M33" s="71"/>
      <c r="N33" s="61"/>
      <c r="O33" s="61"/>
      <c r="P33" s="68"/>
      <c r="Q33" s="76"/>
      <c r="R33" s="77" t="e">
        <f t="shared" si="6"/>
        <v>#DIV/0!</v>
      </c>
    </row>
    <row r="34" spans="1:18">
      <c r="A34"/>
      <c r="B34" s="49" t="e">
        <f t="shared" si="0"/>
        <v>#DIV/0!</v>
      </c>
      <c r="C34" s="54"/>
      <c r="D34" s="54"/>
      <c r="E34" s="55"/>
      <c r="F34" s="52"/>
      <c r="G34" s="53" t="e">
        <f t="shared" si="1"/>
        <v>#DIV/0!</v>
      </c>
      <c r="H34" s="59" t="e">
        <f t="shared" si="2"/>
        <v>#DIV/0!</v>
      </c>
      <c r="I34" s="53" t="e">
        <f t="shared" si="3"/>
        <v>#DIV/0!</v>
      </c>
      <c r="J34" s="64" t="e">
        <f t="shared" si="4"/>
        <v>#DIV/0!</v>
      </c>
      <c r="K34" s="61"/>
      <c r="L34" s="70" t="e">
        <f t="shared" si="5"/>
        <v>#DIV/0!</v>
      </c>
      <c r="M34" s="71"/>
      <c r="N34" s="61"/>
      <c r="O34" s="61"/>
      <c r="P34" s="68"/>
      <c r="Q34" s="76"/>
      <c r="R34" s="77" t="e">
        <f t="shared" si="6"/>
        <v>#DIV/0!</v>
      </c>
    </row>
    <row r="35" spans="1:18">
      <c r="A35"/>
      <c r="B35" s="49" t="e">
        <f t="shared" si="0"/>
        <v>#DIV/0!</v>
      </c>
      <c r="C35" s="54"/>
      <c r="D35" s="54"/>
      <c r="E35" s="55"/>
      <c r="F35" s="52"/>
      <c r="G35" s="56" t="e">
        <f t="shared" si="1"/>
        <v>#DIV/0!</v>
      </c>
      <c r="H35" s="57" t="e">
        <f t="shared" si="2"/>
        <v>#DIV/0!</v>
      </c>
      <c r="I35" s="56" t="e">
        <f t="shared" si="3"/>
        <v>#DIV/0!</v>
      </c>
      <c r="J35" s="64" t="e">
        <f t="shared" si="4"/>
        <v>#DIV/0!</v>
      </c>
      <c r="K35" s="61"/>
      <c r="L35" s="70" t="e">
        <f t="shared" si="5"/>
        <v>#DIV/0!</v>
      </c>
      <c r="M35" s="67"/>
      <c r="N35" s="61"/>
      <c r="O35" s="61"/>
      <c r="P35" s="68"/>
      <c r="Q35" s="76"/>
      <c r="R35" s="77" t="e">
        <f t="shared" si="6"/>
        <v>#DIV/0!</v>
      </c>
    </row>
    <row r="36" spans="1:18">
      <c r="A36"/>
      <c r="B36" s="49" t="e">
        <f t="shared" si="0"/>
        <v>#DIV/0!</v>
      </c>
      <c r="C36" s="54"/>
      <c r="D36" s="54"/>
      <c r="E36" s="55"/>
      <c r="F36" s="52"/>
      <c r="G36" s="53" t="e">
        <f t="shared" si="1"/>
        <v>#DIV/0!</v>
      </c>
      <c r="H36" s="59" t="e">
        <f t="shared" si="2"/>
        <v>#DIV/0!</v>
      </c>
      <c r="I36" s="53" t="e">
        <f t="shared" si="3"/>
        <v>#DIV/0!</v>
      </c>
      <c r="J36" s="64" t="e">
        <f t="shared" si="4"/>
        <v>#DIV/0!</v>
      </c>
      <c r="K36" s="61"/>
      <c r="L36" s="70" t="e">
        <f t="shared" si="5"/>
        <v>#DIV/0!</v>
      </c>
      <c r="M36" s="67"/>
      <c r="N36" s="61"/>
      <c r="O36" s="61"/>
      <c r="P36" s="68"/>
      <c r="Q36" s="76"/>
      <c r="R36" s="77" t="e">
        <f t="shared" si="6"/>
        <v>#DIV/0!</v>
      </c>
    </row>
    <row r="37" spans="1:18" ht="14.65" customHeight="1">
      <c r="A37"/>
      <c r="B37" s="49" t="e">
        <f t="shared" si="0"/>
        <v>#DIV/0!</v>
      </c>
      <c r="C37" s="62"/>
      <c r="D37" s="61"/>
      <c r="E37" s="58"/>
      <c r="F37" s="52"/>
      <c r="G37" s="53" t="e">
        <f t="shared" si="1"/>
        <v>#DIV/0!</v>
      </c>
      <c r="H37" s="59" t="e">
        <f t="shared" si="2"/>
        <v>#DIV/0!</v>
      </c>
      <c r="I37" s="53" t="e">
        <f t="shared" si="3"/>
        <v>#DIV/0!</v>
      </c>
      <c r="J37" s="64" t="e">
        <f t="shared" si="4"/>
        <v>#DIV/0!</v>
      </c>
      <c r="K37" s="61"/>
      <c r="L37" s="70" t="e">
        <f t="shared" si="5"/>
        <v>#DIV/0!</v>
      </c>
      <c r="M37" s="67"/>
      <c r="N37" s="61"/>
      <c r="O37" s="61"/>
      <c r="P37" s="68"/>
      <c r="Q37" s="76"/>
      <c r="R37" s="77" t="e">
        <f t="shared" si="6"/>
        <v>#DIV/0!</v>
      </c>
    </row>
    <row r="38" spans="1:18">
      <c r="A38"/>
      <c r="B38" s="49" t="e">
        <f t="shared" si="0"/>
        <v>#DIV/0!</v>
      </c>
      <c r="C38" s="61"/>
      <c r="D38" s="61"/>
      <c r="E38" s="58"/>
      <c r="F38" s="52"/>
      <c r="G38" s="53" t="e">
        <f t="shared" si="1"/>
        <v>#DIV/0!</v>
      </c>
      <c r="H38" s="59" t="e">
        <f t="shared" si="2"/>
        <v>#DIV/0!</v>
      </c>
      <c r="I38" s="53" t="e">
        <f t="shared" si="3"/>
        <v>#DIV/0!</v>
      </c>
      <c r="J38" s="64" t="e">
        <f t="shared" si="4"/>
        <v>#DIV/0!</v>
      </c>
      <c r="K38" s="61"/>
      <c r="L38" s="70" t="e">
        <f t="shared" si="5"/>
        <v>#DIV/0!</v>
      </c>
      <c r="M38" s="67"/>
      <c r="N38" s="61"/>
      <c r="O38" s="61"/>
      <c r="P38" s="68"/>
      <c r="Q38" s="76"/>
      <c r="R38" s="77" t="e">
        <f t="shared" si="6"/>
        <v>#DIV/0!</v>
      </c>
    </row>
    <row r="39" spans="1:18">
      <c r="A39"/>
      <c r="B39" s="49" t="e">
        <f t="shared" si="0"/>
        <v>#DIV/0!</v>
      </c>
      <c r="C39" s="61"/>
      <c r="D39" s="61"/>
      <c r="E39" s="58"/>
      <c r="F39" s="52"/>
      <c r="G39" s="53" t="e">
        <f t="shared" si="1"/>
        <v>#DIV/0!</v>
      </c>
      <c r="H39" s="59" t="e">
        <f t="shared" si="2"/>
        <v>#DIV/0!</v>
      </c>
      <c r="I39" s="53" t="e">
        <f t="shared" si="3"/>
        <v>#DIV/0!</v>
      </c>
      <c r="J39" s="64" t="e">
        <f t="shared" si="4"/>
        <v>#DIV/0!</v>
      </c>
      <c r="K39" s="61"/>
      <c r="L39" s="70" t="e">
        <f t="shared" si="5"/>
        <v>#DIV/0!</v>
      </c>
      <c r="M39" s="67"/>
      <c r="N39" s="61"/>
      <c r="O39" s="61"/>
      <c r="P39" s="68"/>
      <c r="Q39" s="76"/>
      <c r="R39" s="77" t="e">
        <f t="shared" si="6"/>
        <v>#DIV/0!</v>
      </c>
    </row>
    <row r="40" spans="1:18">
      <c r="A40"/>
      <c r="B40" s="49" t="e">
        <f t="shared" si="0"/>
        <v>#DIV/0!</v>
      </c>
      <c r="C40" s="62"/>
      <c r="D40" s="54"/>
      <c r="E40" s="55"/>
      <c r="F40" s="52"/>
      <c r="G40" s="53" t="e">
        <f t="shared" si="1"/>
        <v>#DIV/0!</v>
      </c>
      <c r="H40" s="59" t="e">
        <f t="shared" si="2"/>
        <v>#DIV/0!</v>
      </c>
      <c r="I40" s="53" t="e">
        <f t="shared" si="3"/>
        <v>#DIV/0!</v>
      </c>
      <c r="J40" s="64" t="e">
        <f t="shared" si="4"/>
        <v>#DIV/0!</v>
      </c>
      <c r="K40" s="61"/>
      <c r="L40" s="70" t="e">
        <f t="shared" si="5"/>
        <v>#DIV/0!</v>
      </c>
      <c r="M40" s="67"/>
      <c r="N40" s="61"/>
      <c r="O40" s="61"/>
      <c r="P40" s="68"/>
      <c r="Q40" s="76"/>
      <c r="R40" s="77" t="e">
        <f t="shared" si="6"/>
        <v>#DIV/0!</v>
      </c>
    </row>
    <row r="41" spans="1:18">
      <c r="A41"/>
      <c r="B41" s="49" t="e">
        <f t="shared" si="0"/>
        <v>#DIV/0!</v>
      </c>
      <c r="C41" s="62"/>
      <c r="D41" s="54"/>
      <c r="E41" s="55"/>
      <c r="F41" s="52"/>
      <c r="G41" s="53" t="e">
        <f t="shared" si="1"/>
        <v>#DIV/0!</v>
      </c>
      <c r="H41" s="59" t="e">
        <f t="shared" si="2"/>
        <v>#DIV/0!</v>
      </c>
      <c r="I41" s="53" t="e">
        <f t="shared" si="3"/>
        <v>#DIV/0!</v>
      </c>
      <c r="J41" s="64" t="e">
        <f t="shared" si="4"/>
        <v>#DIV/0!</v>
      </c>
      <c r="K41" s="61"/>
      <c r="L41" s="70" t="e">
        <f t="shared" si="5"/>
        <v>#DIV/0!</v>
      </c>
      <c r="M41" s="67"/>
      <c r="N41" s="61"/>
      <c r="O41" s="61"/>
      <c r="P41" s="68"/>
      <c r="Q41" s="76"/>
      <c r="R41" s="77" t="e">
        <f t="shared" si="6"/>
        <v>#DIV/0!</v>
      </c>
    </row>
    <row r="42" spans="1:18">
      <c r="A42"/>
      <c r="B42" s="49" t="e">
        <f t="shared" si="0"/>
        <v>#DIV/0!</v>
      </c>
      <c r="C42" s="61"/>
      <c r="D42" s="61"/>
      <c r="E42" s="55"/>
      <c r="F42" s="52"/>
      <c r="G42" s="56" t="e">
        <f t="shared" si="1"/>
        <v>#DIV/0!</v>
      </c>
      <c r="H42" s="57" t="e">
        <f t="shared" si="2"/>
        <v>#DIV/0!</v>
      </c>
      <c r="I42" s="56" t="e">
        <f t="shared" si="3"/>
        <v>#DIV/0!</v>
      </c>
      <c r="J42" s="64" t="e">
        <f t="shared" si="4"/>
        <v>#DIV/0!</v>
      </c>
      <c r="K42" s="61"/>
      <c r="L42" s="70" t="e">
        <f t="shared" si="5"/>
        <v>#DIV/0!</v>
      </c>
      <c r="M42" s="67"/>
      <c r="N42" s="61"/>
      <c r="O42" s="61"/>
      <c r="P42" s="68"/>
      <c r="Q42" s="76"/>
      <c r="R42" s="77" t="e">
        <f t="shared" si="6"/>
        <v>#DIV/0!</v>
      </c>
    </row>
    <row r="43" spans="1:18">
      <c r="A43"/>
      <c r="B43" s="49" t="e">
        <f t="shared" si="0"/>
        <v>#DIV/0!</v>
      </c>
      <c r="C43" s="61"/>
      <c r="D43" s="61"/>
      <c r="E43" s="55"/>
      <c r="F43" s="52"/>
      <c r="G43" s="56" t="e">
        <f t="shared" si="1"/>
        <v>#DIV/0!</v>
      </c>
      <c r="H43" s="57" t="e">
        <f t="shared" si="2"/>
        <v>#DIV/0!</v>
      </c>
      <c r="I43" s="56" t="e">
        <f t="shared" si="3"/>
        <v>#DIV/0!</v>
      </c>
      <c r="J43" s="64" t="e">
        <f t="shared" si="4"/>
        <v>#DIV/0!</v>
      </c>
      <c r="K43" s="61"/>
      <c r="L43" s="70" t="e">
        <f t="shared" si="5"/>
        <v>#DIV/0!</v>
      </c>
      <c r="M43" s="67"/>
      <c r="N43" s="61"/>
      <c r="O43" s="61"/>
      <c r="P43" s="68"/>
      <c r="Q43" s="76"/>
      <c r="R43" s="77" t="e">
        <f t="shared" si="6"/>
        <v>#DIV/0!</v>
      </c>
    </row>
    <row r="44" spans="1:18">
      <c r="A44"/>
      <c r="B44" s="49" t="e">
        <f t="shared" si="0"/>
        <v>#DIV/0!</v>
      </c>
      <c r="C44" s="61"/>
      <c r="D44" s="61"/>
      <c r="E44" s="55"/>
      <c r="F44" s="52"/>
      <c r="G44" s="53" t="e">
        <f t="shared" si="1"/>
        <v>#DIV/0!</v>
      </c>
      <c r="H44" s="59" t="e">
        <f t="shared" si="2"/>
        <v>#DIV/0!</v>
      </c>
      <c r="I44" s="53" t="e">
        <f t="shared" si="3"/>
        <v>#DIV/0!</v>
      </c>
      <c r="J44" s="64" t="e">
        <f t="shared" si="4"/>
        <v>#DIV/0!</v>
      </c>
      <c r="K44" s="61"/>
      <c r="L44" s="70" t="e">
        <f t="shared" si="5"/>
        <v>#DIV/0!</v>
      </c>
      <c r="M44" s="67"/>
      <c r="N44" s="61"/>
      <c r="O44" s="61"/>
      <c r="P44" s="68"/>
      <c r="Q44" s="76"/>
      <c r="R44" s="77" t="e">
        <f t="shared" si="6"/>
        <v>#DIV/0!</v>
      </c>
    </row>
    <row r="45" spans="1:18">
      <c r="A45"/>
      <c r="B45" s="49" t="e">
        <f t="shared" si="0"/>
        <v>#DIV/0!</v>
      </c>
      <c r="C45" s="61"/>
      <c r="D45" s="61"/>
      <c r="E45" s="55"/>
      <c r="F45" s="52"/>
      <c r="G45" s="53" t="e">
        <f t="shared" si="1"/>
        <v>#DIV/0!</v>
      </c>
      <c r="H45" s="59" t="e">
        <f t="shared" si="2"/>
        <v>#DIV/0!</v>
      </c>
      <c r="I45" s="53" t="e">
        <f t="shared" si="3"/>
        <v>#DIV/0!</v>
      </c>
      <c r="J45" s="64" t="e">
        <f t="shared" si="4"/>
        <v>#DIV/0!</v>
      </c>
      <c r="K45" s="61"/>
      <c r="L45" s="70" t="e">
        <f t="shared" si="5"/>
        <v>#DIV/0!</v>
      </c>
      <c r="M45" s="67"/>
      <c r="N45" s="61"/>
      <c r="O45" s="61"/>
      <c r="P45" s="68"/>
      <c r="Q45" s="76"/>
      <c r="R45" s="77" t="e">
        <f t="shared" si="6"/>
        <v>#DIV/0!</v>
      </c>
    </row>
    <row r="46" spans="1:18">
      <c r="A46"/>
      <c r="B46" s="49" t="e">
        <f t="shared" si="0"/>
        <v>#DIV/0!</v>
      </c>
      <c r="C46" s="54"/>
      <c r="D46" s="54"/>
      <c r="E46" s="55"/>
      <c r="F46" s="52"/>
      <c r="G46" s="53" t="e">
        <f t="shared" si="1"/>
        <v>#DIV/0!</v>
      </c>
      <c r="H46" s="59" t="e">
        <f t="shared" si="2"/>
        <v>#DIV/0!</v>
      </c>
      <c r="I46" s="53" t="e">
        <f t="shared" si="3"/>
        <v>#DIV/0!</v>
      </c>
      <c r="J46" s="64" t="e">
        <f t="shared" si="4"/>
        <v>#DIV/0!</v>
      </c>
      <c r="K46" s="61"/>
      <c r="L46" s="70" t="e">
        <f t="shared" si="5"/>
        <v>#DIV/0!</v>
      </c>
      <c r="M46" s="67"/>
      <c r="N46" s="61"/>
      <c r="O46" s="61"/>
      <c r="P46" s="68"/>
      <c r="Q46" s="76"/>
      <c r="R46" s="77" t="e">
        <f t="shared" si="6"/>
        <v>#DIV/0!</v>
      </c>
    </row>
    <row r="47" spans="1:18">
      <c r="A47"/>
      <c r="B47" s="49" t="e">
        <f t="shared" si="0"/>
        <v>#DIV/0!</v>
      </c>
      <c r="C47" s="54"/>
      <c r="D47" s="54"/>
      <c r="E47" s="55"/>
      <c r="F47" s="52"/>
      <c r="G47" s="53" t="e">
        <f t="shared" si="1"/>
        <v>#DIV/0!</v>
      </c>
      <c r="H47" s="59" t="e">
        <f t="shared" si="2"/>
        <v>#DIV/0!</v>
      </c>
      <c r="I47" s="53" t="e">
        <f t="shared" si="3"/>
        <v>#DIV/0!</v>
      </c>
      <c r="J47" s="64" t="e">
        <f t="shared" si="4"/>
        <v>#DIV/0!</v>
      </c>
      <c r="K47" s="61"/>
      <c r="L47" s="70" t="e">
        <f t="shared" si="5"/>
        <v>#DIV/0!</v>
      </c>
      <c r="M47" s="67"/>
      <c r="N47" s="61"/>
      <c r="O47" s="61"/>
      <c r="P47" s="68"/>
      <c r="Q47" s="76"/>
      <c r="R47" s="77" t="e">
        <f t="shared" si="6"/>
        <v>#DIV/0!</v>
      </c>
    </row>
    <row r="48" spans="1:18">
      <c r="A48"/>
      <c r="B48" s="49" t="e">
        <f t="shared" si="0"/>
        <v>#DIV/0!</v>
      </c>
      <c r="C48" s="54"/>
      <c r="D48" s="54"/>
      <c r="E48" s="55"/>
      <c r="F48" s="52"/>
      <c r="G48" s="53" t="e">
        <f t="shared" si="1"/>
        <v>#DIV/0!</v>
      </c>
      <c r="H48" s="59" t="e">
        <f t="shared" si="2"/>
        <v>#DIV/0!</v>
      </c>
      <c r="I48" s="53" t="e">
        <f t="shared" si="3"/>
        <v>#DIV/0!</v>
      </c>
      <c r="J48" s="64" t="e">
        <f t="shared" si="4"/>
        <v>#DIV/0!</v>
      </c>
      <c r="K48" s="61"/>
      <c r="L48" s="70" t="e">
        <f t="shared" si="5"/>
        <v>#DIV/0!</v>
      </c>
      <c r="M48" s="67"/>
      <c r="N48" s="61"/>
      <c r="O48" s="61"/>
      <c r="P48" s="68"/>
      <c r="Q48" s="76"/>
      <c r="R48" s="77" t="e">
        <f t="shared" si="6"/>
        <v>#DIV/0!</v>
      </c>
    </row>
    <row r="49" spans="1:18" ht="12" customHeight="1">
      <c r="A49"/>
      <c r="B49" s="49" t="e">
        <f t="shared" si="0"/>
        <v>#DIV/0!</v>
      </c>
      <c r="C49" s="54"/>
      <c r="D49" s="54"/>
      <c r="E49" s="55"/>
      <c r="F49" s="52"/>
      <c r="G49" s="53" t="e">
        <f t="shared" si="1"/>
        <v>#DIV/0!</v>
      </c>
      <c r="H49" s="59" t="e">
        <f t="shared" si="2"/>
        <v>#DIV/0!</v>
      </c>
      <c r="I49" s="53" t="e">
        <f t="shared" si="3"/>
        <v>#DIV/0!</v>
      </c>
      <c r="J49" s="64" t="e">
        <f t="shared" si="4"/>
        <v>#DIV/0!</v>
      </c>
      <c r="K49" s="61"/>
      <c r="L49" s="70" t="e">
        <f t="shared" si="5"/>
        <v>#DIV/0!</v>
      </c>
      <c r="M49" s="67"/>
      <c r="N49" s="61"/>
      <c r="O49" s="61"/>
      <c r="P49" s="68"/>
      <c r="Q49" s="76"/>
      <c r="R49" s="77" t="e">
        <f t="shared" si="6"/>
        <v>#DIV/0!</v>
      </c>
    </row>
    <row r="50" spans="1:18">
      <c r="A50"/>
      <c r="B50" s="49" t="e">
        <f t="shared" si="0"/>
        <v>#DIV/0!</v>
      </c>
      <c r="C50" s="54"/>
      <c r="D50" s="54"/>
      <c r="E50" s="55"/>
      <c r="F50" s="52"/>
      <c r="G50" s="53" t="e">
        <f t="shared" si="1"/>
        <v>#DIV/0!</v>
      </c>
      <c r="H50" s="59" t="e">
        <f t="shared" si="2"/>
        <v>#DIV/0!</v>
      </c>
      <c r="I50" s="53" t="e">
        <f t="shared" si="3"/>
        <v>#DIV/0!</v>
      </c>
      <c r="J50" s="64" t="e">
        <f t="shared" si="4"/>
        <v>#DIV/0!</v>
      </c>
      <c r="K50" s="61"/>
      <c r="L50" s="70" t="e">
        <f t="shared" si="5"/>
        <v>#DIV/0!</v>
      </c>
      <c r="M50" s="67"/>
      <c r="N50" s="61"/>
      <c r="O50" s="61"/>
      <c r="P50" s="68"/>
      <c r="Q50" s="76"/>
      <c r="R50" s="77" t="e">
        <f t="shared" si="6"/>
        <v>#DIV/0!</v>
      </c>
    </row>
    <row r="51" spans="1:18">
      <c r="A51"/>
      <c r="B51" s="49" t="e">
        <f t="shared" si="0"/>
        <v>#DIV/0!</v>
      </c>
      <c r="C51" s="54"/>
      <c r="D51" s="54"/>
      <c r="E51" s="55"/>
      <c r="F51" s="52"/>
      <c r="G51" s="53" t="e">
        <f t="shared" si="1"/>
        <v>#DIV/0!</v>
      </c>
      <c r="H51" s="59" t="e">
        <f t="shared" si="2"/>
        <v>#DIV/0!</v>
      </c>
      <c r="I51" s="53" t="e">
        <f t="shared" si="3"/>
        <v>#DIV/0!</v>
      </c>
      <c r="J51" s="64" t="e">
        <f t="shared" si="4"/>
        <v>#DIV/0!</v>
      </c>
      <c r="K51" s="61"/>
      <c r="L51" s="70" t="e">
        <f t="shared" si="5"/>
        <v>#DIV/0!</v>
      </c>
      <c r="M51" s="67"/>
      <c r="N51" s="61"/>
      <c r="O51" s="61"/>
      <c r="P51" s="68"/>
      <c r="Q51" s="76"/>
      <c r="R51" s="77" t="e">
        <f t="shared" si="6"/>
        <v>#DIV/0!</v>
      </c>
    </row>
    <row r="52" spans="1:18">
      <c r="A52"/>
      <c r="B52" s="49" t="e">
        <f t="shared" si="0"/>
        <v>#DIV/0!</v>
      </c>
      <c r="C52" s="62"/>
      <c r="D52" s="61"/>
      <c r="E52" s="55"/>
      <c r="F52" s="52"/>
      <c r="G52" s="53" t="e">
        <f t="shared" si="1"/>
        <v>#DIV/0!</v>
      </c>
      <c r="H52" s="59" t="e">
        <f t="shared" si="2"/>
        <v>#DIV/0!</v>
      </c>
      <c r="I52" s="53" t="e">
        <f t="shared" si="3"/>
        <v>#DIV/0!</v>
      </c>
      <c r="J52" s="64" t="e">
        <f t="shared" si="4"/>
        <v>#DIV/0!</v>
      </c>
      <c r="K52" s="61"/>
      <c r="L52" s="70" t="e">
        <f t="shared" si="5"/>
        <v>#DIV/0!</v>
      </c>
      <c r="M52" s="67"/>
      <c r="N52" s="61"/>
      <c r="O52" s="61"/>
      <c r="P52" s="68"/>
      <c r="Q52" s="76"/>
      <c r="R52" s="77" t="e">
        <f t="shared" si="6"/>
        <v>#DIV/0!</v>
      </c>
    </row>
    <row r="53" spans="1:18">
      <c r="A53"/>
      <c r="B53" s="49" t="e">
        <f t="shared" si="0"/>
        <v>#DIV/0!</v>
      </c>
      <c r="C53" s="61"/>
      <c r="D53" s="61"/>
      <c r="E53" s="55"/>
      <c r="F53" s="52"/>
      <c r="G53" s="53" t="e">
        <f t="shared" si="1"/>
        <v>#DIV/0!</v>
      </c>
      <c r="H53" s="59" t="e">
        <f t="shared" si="2"/>
        <v>#DIV/0!</v>
      </c>
      <c r="I53" s="53" t="e">
        <f t="shared" si="3"/>
        <v>#DIV/0!</v>
      </c>
      <c r="J53" s="64" t="e">
        <f t="shared" si="4"/>
        <v>#DIV/0!</v>
      </c>
      <c r="K53" s="61"/>
      <c r="L53" s="70" t="e">
        <f t="shared" si="5"/>
        <v>#DIV/0!</v>
      </c>
      <c r="M53" s="67"/>
      <c r="N53" s="61"/>
      <c r="O53" s="61"/>
      <c r="P53" s="68"/>
      <c r="Q53" s="76"/>
      <c r="R53" s="77" t="e">
        <f t="shared" si="6"/>
        <v>#DIV/0!</v>
      </c>
    </row>
    <row r="54" spans="1:18">
      <c r="A54"/>
      <c r="B54" s="49" t="e">
        <f t="shared" si="0"/>
        <v>#DIV/0!</v>
      </c>
      <c r="C54" s="62"/>
      <c r="D54" s="61"/>
      <c r="E54" s="58"/>
      <c r="F54" s="52"/>
      <c r="G54" s="53" t="e">
        <f t="shared" si="1"/>
        <v>#DIV/0!</v>
      </c>
      <c r="H54" s="59" t="e">
        <f t="shared" si="2"/>
        <v>#DIV/0!</v>
      </c>
      <c r="I54" s="53" t="e">
        <f t="shared" si="3"/>
        <v>#DIV/0!</v>
      </c>
      <c r="J54" s="64" t="e">
        <f t="shared" si="4"/>
        <v>#DIV/0!</v>
      </c>
      <c r="K54" s="61"/>
      <c r="L54" s="70" t="e">
        <f t="shared" si="5"/>
        <v>#DIV/0!</v>
      </c>
      <c r="M54" s="67"/>
      <c r="N54" s="61"/>
      <c r="O54" s="61"/>
      <c r="P54" s="68"/>
      <c r="Q54" s="76"/>
      <c r="R54" s="77" t="e">
        <f t="shared" si="6"/>
        <v>#DIV/0!</v>
      </c>
    </row>
    <row r="55" spans="1:18">
      <c r="B55" s="49" t="e">
        <f t="shared" si="0"/>
        <v>#DIV/0!</v>
      </c>
      <c r="C55" s="61"/>
      <c r="D55" s="61"/>
      <c r="E55" s="55"/>
      <c r="F55" s="52"/>
      <c r="G55" s="53" t="e">
        <f t="shared" si="1"/>
        <v>#DIV/0!</v>
      </c>
      <c r="H55" s="59" t="e">
        <f t="shared" si="2"/>
        <v>#DIV/0!</v>
      </c>
      <c r="I55" s="53" t="e">
        <f t="shared" si="3"/>
        <v>#DIV/0!</v>
      </c>
      <c r="J55" s="64" t="e">
        <f t="shared" si="4"/>
        <v>#DIV/0!</v>
      </c>
      <c r="K55" s="61"/>
      <c r="L55" s="70" t="e">
        <f t="shared" si="5"/>
        <v>#DIV/0!</v>
      </c>
      <c r="M55" s="67"/>
      <c r="N55" s="61"/>
      <c r="O55" s="61"/>
      <c r="P55" s="68"/>
      <c r="Q55" s="76"/>
      <c r="R55" s="77" t="e">
        <f t="shared" si="6"/>
        <v>#DIV/0!</v>
      </c>
    </row>
    <row r="56" spans="1:18">
      <c r="B56" s="49" t="e">
        <f t="shared" si="0"/>
        <v>#DIV/0!</v>
      </c>
      <c r="C56" s="61"/>
      <c r="D56" s="61"/>
      <c r="E56" s="55"/>
      <c r="F56" s="52"/>
      <c r="G56" s="53" t="e">
        <f t="shared" si="1"/>
        <v>#DIV/0!</v>
      </c>
      <c r="H56" s="59" t="e">
        <f t="shared" si="2"/>
        <v>#DIV/0!</v>
      </c>
      <c r="I56" s="53" t="e">
        <f t="shared" si="3"/>
        <v>#DIV/0!</v>
      </c>
      <c r="J56" s="64" t="e">
        <f t="shared" si="4"/>
        <v>#DIV/0!</v>
      </c>
      <c r="K56" s="61"/>
      <c r="L56" s="70">
        <v>283</v>
      </c>
      <c r="M56" s="67"/>
      <c r="N56" s="61"/>
      <c r="O56" s="61"/>
      <c r="P56" s="68"/>
      <c r="Q56" s="76"/>
      <c r="R56" s="77" t="e">
        <f t="shared" si="6"/>
        <v>#DIV/0!</v>
      </c>
    </row>
    <row r="57" spans="1:18">
      <c r="B57" s="49" t="e">
        <f t="shared" si="0"/>
        <v>#DIV/0!</v>
      </c>
      <c r="C57" s="61"/>
      <c r="D57" s="61"/>
      <c r="E57" s="55"/>
      <c r="F57" s="52"/>
      <c r="G57" s="53" t="e">
        <f t="shared" si="1"/>
        <v>#DIV/0!</v>
      </c>
      <c r="H57" s="59" t="e">
        <f t="shared" si="2"/>
        <v>#DIV/0!</v>
      </c>
      <c r="I57" s="53" t="e">
        <f t="shared" si="3"/>
        <v>#DIV/0!</v>
      </c>
      <c r="J57" s="64" t="e">
        <f t="shared" si="4"/>
        <v>#DIV/0!</v>
      </c>
      <c r="K57" s="61"/>
      <c r="L57" s="70" t="e">
        <f t="shared" ref="L57:L71" si="7">K57/R57*(1+P57)^3*E57%</f>
        <v>#DIV/0!</v>
      </c>
      <c r="M57" s="67"/>
      <c r="N57" s="61"/>
      <c r="O57" s="61"/>
      <c r="P57" s="72"/>
      <c r="Q57" s="76"/>
      <c r="R57" s="77" t="e">
        <f t="shared" si="6"/>
        <v>#DIV/0!</v>
      </c>
    </row>
    <row r="58" spans="1:18">
      <c r="B58" s="49" t="e">
        <f t="shared" si="0"/>
        <v>#DIV/0!</v>
      </c>
      <c r="C58" s="61"/>
      <c r="D58" s="61"/>
      <c r="E58" s="55"/>
      <c r="F58" s="52"/>
      <c r="G58" s="53" t="e">
        <f t="shared" si="1"/>
        <v>#DIV/0!</v>
      </c>
      <c r="H58" s="59" t="e">
        <f t="shared" si="2"/>
        <v>#DIV/0!</v>
      </c>
      <c r="I58" s="53" t="e">
        <f t="shared" si="3"/>
        <v>#DIV/0!</v>
      </c>
      <c r="J58" s="64" t="e">
        <f t="shared" si="4"/>
        <v>#DIV/0!</v>
      </c>
      <c r="K58" s="61"/>
      <c r="L58" s="70" t="e">
        <f t="shared" si="7"/>
        <v>#DIV/0!</v>
      </c>
      <c r="M58" s="67"/>
      <c r="N58" s="61"/>
      <c r="O58" s="61"/>
      <c r="P58" s="72"/>
      <c r="Q58" s="76"/>
      <c r="R58" s="77" t="e">
        <f t="shared" si="6"/>
        <v>#DIV/0!</v>
      </c>
    </row>
    <row r="59" spans="1:18">
      <c r="B59" s="49" t="e">
        <f t="shared" si="0"/>
        <v>#DIV/0!</v>
      </c>
      <c r="C59" s="61"/>
      <c r="D59" s="61"/>
      <c r="E59" s="55"/>
      <c r="F59" s="52"/>
      <c r="G59" s="53" t="e">
        <f t="shared" si="1"/>
        <v>#DIV/0!</v>
      </c>
      <c r="H59" s="59" t="e">
        <f t="shared" si="2"/>
        <v>#DIV/0!</v>
      </c>
      <c r="I59" s="53" t="e">
        <f t="shared" si="3"/>
        <v>#DIV/0!</v>
      </c>
      <c r="J59" s="64" t="e">
        <f t="shared" si="4"/>
        <v>#DIV/0!</v>
      </c>
      <c r="K59" s="61"/>
      <c r="L59" s="70" t="e">
        <f t="shared" si="7"/>
        <v>#DIV/0!</v>
      </c>
      <c r="M59" s="67"/>
      <c r="N59" s="61"/>
      <c r="O59" s="61"/>
      <c r="P59" s="72"/>
      <c r="Q59" s="76"/>
      <c r="R59" s="77" t="e">
        <f t="shared" si="6"/>
        <v>#DIV/0!</v>
      </c>
    </row>
    <row r="60" spans="1:18">
      <c r="B60" s="49" t="e">
        <f t="shared" si="0"/>
        <v>#DIV/0!</v>
      </c>
      <c r="C60" s="61"/>
      <c r="D60" s="61"/>
      <c r="E60" s="55"/>
      <c r="F60" s="52"/>
      <c r="G60" s="53" t="e">
        <f t="shared" si="1"/>
        <v>#DIV/0!</v>
      </c>
      <c r="H60" s="59" t="e">
        <f t="shared" si="2"/>
        <v>#DIV/0!</v>
      </c>
      <c r="I60" s="53" t="e">
        <f t="shared" si="3"/>
        <v>#DIV/0!</v>
      </c>
      <c r="J60" s="64" t="e">
        <f t="shared" si="4"/>
        <v>#DIV/0!</v>
      </c>
      <c r="K60" s="61"/>
      <c r="L60" s="70" t="e">
        <f t="shared" si="7"/>
        <v>#DIV/0!</v>
      </c>
      <c r="M60" s="67"/>
      <c r="N60" s="61"/>
      <c r="O60" s="61"/>
      <c r="P60" s="72"/>
      <c r="Q60" s="76"/>
      <c r="R60" s="77" t="e">
        <f t="shared" si="6"/>
        <v>#DIV/0!</v>
      </c>
    </row>
    <row r="61" spans="1:18">
      <c r="B61" s="49" t="e">
        <f t="shared" si="0"/>
        <v>#DIV/0!</v>
      </c>
      <c r="C61" s="61"/>
      <c r="D61" s="61"/>
      <c r="E61" s="55"/>
      <c r="F61" s="52"/>
      <c r="G61" s="53" t="e">
        <f t="shared" si="1"/>
        <v>#DIV/0!</v>
      </c>
      <c r="H61" s="59" t="e">
        <f t="shared" si="2"/>
        <v>#DIV/0!</v>
      </c>
      <c r="I61" s="53" t="e">
        <f t="shared" si="3"/>
        <v>#DIV/0!</v>
      </c>
      <c r="J61" s="64" t="e">
        <f t="shared" si="4"/>
        <v>#DIV/0!</v>
      </c>
      <c r="K61" s="61"/>
      <c r="L61" s="70" t="e">
        <f t="shared" si="7"/>
        <v>#DIV/0!</v>
      </c>
      <c r="M61" s="67"/>
      <c r="N61" s="61"/>
      <c r="O61" s="61"/>
      <c r="P61" s="72"/>
      <c r="Q61" s="76"/>
      <c r="R61" s="77" t="e">
        <f t="shared" si="6"/>
        <v>#DIV/0!</v>
      </c>
    </row>
    <row r="62" spans="1:18">
      <c r="B62" s="49" t="e">
        <f t="shared" si="0"/>
        <v>#DIV/0!</v>
      </c>
      <c r="C62" s="61"/>
      <c r="D62" s="61"/>
      <c r="E62" s="55"/>
      <c r="F62" s="52"/>
      <c r="G62" s="53" t="e">
        <f t="shared" si="1"/>
        <v>#DIV/0!</v>
      </c>
      <c r="H62" s="59" t="e">
        <f t="shared" si="2"/>
        <v>#DIV/0!</v>
      </c>
      <c r="I62" s="53" t="e">
        <f t="shared" si="3"/>
        <v>#DIV/0!</v>
      </c>
      <c r="J62" s="64" t="e">
        <f t="shared" si="4"/>
        <v>#DIV/0!</v>
      </c>
      <c r="K62" s="61"/>
      <c r="L62" s="70" t="e">
        <f t="shared" si="7"/>
        <v>#DIV/0!</v>
      </c>
      <c r="M62" s="67"/>
      <c r="N62" s="61"/>
      <c r="O62" s="61"/>
      <c r="P62" s="68"/>
      <c r="Q62" s="76"/>
      <c r="R62" s="77" t="e">
        <f t="shared" si="6"/>
        <v>#DIV/0!</v>
      </c>
    </row>
    <row r="63" spans="1:18">
      <c r="B63" s="49" t="e">
        <f t="shared" si="0"/>
        <v>#DIV/0!</v>
      </c>
      <c r="C63" s="61"/>
      <c r="D63" s="61"/>
      <c r="E63" s="55"/>
      <c r="F63" s="52"/>
      <c r="G63" s="53" t="e">
        <f t="shared" si="1"/>
        <v>#DIV/0!</v>
      </c>
      <c r="H63" s="59" t="e">
        <f t="shared" si="2"/>
        <v>#DIV/0!</v>
      </c>
      <c r="I63" s="53" t="e">
        <f t="shared" si="3"/>
        <v>#DIV/0!</v>
      </c>
      <c r="J63" s="64" t="e">
        <f t="shared" si="4"/>
        <v>#DIV/0!</v>
      </c>
      <c r="K63" s="61"/>
      <c r="L63" s="70" t="e">
        <f t="shared" si="7"/>
        <v>#DIV/0!</v>
      </c>
      <c r="M63" s="67"/>
      <c r="N63" s="61"/>
      <c r="O63" s="61"/>
      <c r="P63" s="68"/>
      <c r="Q63" s="76"/>
      <c r="R63" s="77" t="e">
        <f t="shared" si="6"/>
        <v>#DIV/0!</v>
      </c>
    </row>
    <row r="64" spans="1:18">
      <c r="B64" s="49" t="e">
        <f t="shared" si="0"/>
        <v>#DIV/0!</v>
      </c>
      <c r="C64" s="61"/>
      <c r="D64" s="61"/>
      <c r="E64" s="55"/>
      <c r="F64" s="52"/>
      <c r="G64" s="53" t="e">
        <f t="shared" si="1"/>
        <v>#DIV/0!</v>
      </c>
      <c r="H64" s="59" t="e">
        <f t="shared" si="2"/>
        <v>#DIV/0!</v>
      </c>
      <c r="I64" s="53" t="e">
        <f t="shared" si="3"/>
        <v>#DIV/0!</v>
      </c>
      <c r="J64" s="64" t="e">
        <f t="shared" si="4"/>
        <v>#DIV/0!</v>
      </c>
      <c r="K64" s="61"/>
      <c r="L64" s="70" t="e">
        <f t="shared" si="7"/>
        <v>#DIV/0!</v>
      </c>
      <c r="M64" s="67"/>
      <c r="N64" s="61"/>
      <c r="O64" s="61"/>
      <c r="P64" s="68"/>
      <c r="Q64" s="76"/>
      <c r="R64" s="77" t="e">
        <f t="shared" si="6"/>
        <v>#DIV/0!</v>
      </c>
    </row>
    <row r="65" spans="2:18">
      <c r="B65" s="49" t="e">
        <f t="shared" si="0"/>
        <v>#DIV/0!</v>
      </c>
      <c r="C65" s="61"/>
      <c r="D65" s="61"/>
      <c r="E65" s="55"/>
      <c r="F65" s="52"/>
      <c r="G65" s="53" t="e">
        <f t="shared" si="1"/>
        <v>#DIV/0!</v>
      </c>
      <c r="H65" s="59" t="e">
        <f t="shared" si="2"/>
        <v>#DIV/0!</v>
      </c>
      <c r="I65" s="53" t="e">
        <f t="shared" si="3"/>
        <v>#DIV/0!</v>
      </c>
      <c r="J65" s="64" t="e">
        <f t="shared" si="4"/>
        <v>#DIV/0!</v>
      </c>
      <c r="K65" s="61"/>
      <c r="L65" s="70" t="e">
        <f t="shared" si="7"/>
        <v>#DIV/0!</v>
      </c>
      <c r="M65" s="67"/>
      <c r="N65" s="61"/>
      <c r="O65" s="61"/>
      <c r="P65" s="68"/>
      <c r="Q65" s="76"/>
      <c r="R65" s="77" t="e">
        <f t="shared" si="6"/>
        <v>#DIV/0!</v>
      </c>
    </row>
    <row r="66" spans="2:18">
      <c r="B66" s="49" t="e">
        <f t="shared" si="0"/>
        <v>#DIV/0!</v>
      </c>
      <c r="C66" s="61"/>
      <c r="D66" s="61"/>
      <c r="E66" s="55"/>
      <c r="F66" s="52"/>
      <c r="G66" s="53" t="e">
        <f t="shared" si="1"/>
        <v>#DIV/0!</v>
      </c>
      <c r="H66" s="59" t="e">
        <f t="shared" si="2"/>
        <v>#DIV/0!</v>
      </c>
      <c r="I66" s="53" t="e">
        <f t="shared" si="3"/>
        <v>#DIV/0!</v>
      </c>
      <c r="J66" s="64" t="e">
        <f t="shared" si="4"/>
        <v>#DIV/0!</v>
      </c>
      <c r="K66" s="61"/>
      <c r="L66" s="70" t="e">
        <f t="shared" si="7"/>
        <v>#DIV/0!</v>
      </c>
      <c r="M66" s="67"/>
      <c r="N66" s="61"/>
      <c r="O66" s="61"/>
      <c r="P66" s="68"/>
      <c r="Q66" s="76"/>
      <c r="R66" s="77" t="e">
        <f t="shared" si="6"/>
        <v>#DIV/0!</v>
      </c>
    </row>
    <row r="67" spans="2:18">
      <c r="B67" s="49" t="e">
        <f t="shared" si="0"/>
        <v>#DIV/0!</v>
      </c>
      <c r="C67" s="61"/>
      <c r="D67" s="61"/>
      <c r="E67" s="55"/>
      <c r="F67" s="52"/>
      <c r="G67" s="53" t="e">
        <f t="shared" si="1"/>
        <v>#DIV/0!</v>
      </c>
      <c r="H67" s="59" t="e">
        <f t="shared" si="2"/>
        <v>#DIV/0!</v>
      </c>
      <c r="I67" s="53" t="e">
        <f t="shared" si="3"/>
        <v>#DIV/0!</v>
      </c>
      <c r="J67" s="64" t="e">
        <f t="shared" si="4"/>
        <v>#DIV/0!</v>
      </c>
      <c r="K67" s="61"/>
      <c r="L67" s="70" t="e">
        <f t="shared" si="7"/>
        <v>#DIV/0!</v>
      </c>
      <c r="M67" s="67"/>
      <c r="N67" s="61"/>
      <c r="O67" s="61"/>
      <c r="P67" s="68"/>
      <c r="Q67" s="76"/>
      <c r="R67" s="77" t="e">
        <f t="shared" si="6"/>
        <v>#DIV/0!</v>
      </c>
    </row>
    <row r="68" spans="2:18">
      <c r="B68" s="49" t="e">
        <f t="shared" si="0"/>
        <v>#DIV/0!</v>
      </c>
      <c r="C68" s="61"/>
      <c r="D68" s="61"/>
      <c r="E68" s="55"/>
      <c r="F68" s="52"/>
      <c r="G68" s="53" t="e">
        <f t="shared" si="1"/>
        <v>#DIV/0!</v>
      </c>
      <c r="H68" s="59" t="e">
        <f t="shared" si="2"/>
        <v>#DIV/0!</v>
      </c>
      <c r="I68" s="53" t="e">
        <f t="shared" si="3"/>
        <v>#DIV/0!</v>
      </c>
      <c r="J68" s="64" t="e">
        <f t="shared" si="4"/>
        <v>#DIV/0!</v>
      </c>
      <c r="K68" s="61"/>
      <c r="L68" s="70" t="e">
        <f t="shared" si="7"/>
        <v>#DIV/0!</v>
      </c>
      <c r="M68" s="67"/>
      <c r="N68" s="61"/>
      <c r="O68" s="61"/>
      <c r="P68" s="68"/>
      <c r="Q68" s="76"/>
      <c r="R68" s="77" t="e">
        <f t="shared" si="6"/>
        <v>#DIV/0!</v>
      </c>
    </row>
    <row r="69" spans="2:18" ht="12.95" customHeight="1">
      <c r="B69" s="49" t="e">
        <f t="shared" si="0"/>
        <v>#DIV/0!</v>
      </c>
      <c r="C69" s="61"/>
      <c r="D69" s="61"/>
      <c r="E69" s="55"/>
      <c r="F69" s="52"/>
      <c r="G69" s="53" t="e">
        <f t="shared" si="1"/>
        <v>#DIV/0!</v>
      </c>
      <c r="H69" s="59" t="e">
        <f t="shared" si="2"/>
        <v>#DIV/0!</v>
      </c>
      <c r="I69" s="53" t="e">
        <f t="shared" si="3"/>
        <v>#DIV/0!</v>
      </c>
      <c r="J69" s="64" t="e">
        <f t="shared" si="4"/>
        <v>#DIV/0!</v>
      </c>
      <c r="K69" s="61"/>
      <c r="L69" s="70" t="e">
        <f t="shared" si="7"/>
        <v>#DIV/0!</v>
      </c>
      <c r="M69" s="71"/>
      <c r="N69" s="61"/>
      <c r="O69" s="61"/>
      <c r="P69" s="68"/>
      <c r="Q69" s="76"/>
      <c r="R69" s="77" t="e">
        <f t="shared" si="6"/>
        <v>#DIV/0!</v>
      </c>
    </row>
    <row r="70" spans="2:18">
      <c r="B70" s="49" t="e">
        <f t="shared" si="0"/>
        <v>#DIV/0!</v>
      </c>
      <c r="C70" s="50"/>
      <c r="D70" s="54"/>
      <c r="E70" s="55"/>
      <c r="F70" s="52"/>
      <c r="G70" s="53" t="e">
        <f t="shared" si="1"/>
        <v>#DIV/0!</v>
      </c>
      <c r="H70" s="59" t="e">
        <f t="shared" si="2"/>
        <v>#DIV/0!</v>
      </c>
      <c r="I70" s="53" t="e">
        <f t="shared" si="3"/>
        <v>#DIV/0!</v>
      </c>
      <c r="J70" s="81" t="e">
        <f t="shared" si="4"/>
        <v>#DIV/0!</v>
      </c>
      <c r="K70" s="61"/>
      <c r="L70" s="70" t="e">
        <f t="shared" si="7"/>
        <v>#DIV/0!</v>
      </c>
      <c r="M70" s="67"/>
      <c r="N70" s="61"/>
      <c r="O70" s="61"/>
      <c r="P70" s="68"/>
      <c r="Q70" s="76"/>
      <c r="R70" s="77" t="e">
        <f t="shared" si="6"/>
        <v>#DIV/0!</v>
      </c>
    </row>
    <row r="71" spans="2:18">
      <c r="B71" s="49" t="e">
        <f>H71/F71</f>
        <v>#DIV/0!</v>
      </c>
      <c r="C71" s="50"/>
      <c r="D71" s="54"/>
      <c r="E71" s="55"/>
      <c r="F71" s="52"/>
      <c r="G71" s="53" t="e">
        <f>H71/0.75</f>
        <v>#DIV/0!</v>
      </c>
      <c r="H71" s="59" t="e">
        <f>F71/R71*0.75*E71%</f>
        <v>#DIV/0!</v>
      </c>
      <c r="I71" s="53" t="e">
        <f>G71*1.5</f>
        <v>#DIV/0!</v>
      </c>
      <c r="J71" s="81" t="e">
        <f>F71/R71*2*E71%</f>
        <v>#DIV/0!</v>
      </c>
      <c r="K71" s="61"/>
      <c r="L71" s="70" t="e">
        <f t="shared" si="7"/>
        <v>#DIV/0!</v>
      </c>
      <c r="M71" s="67"/>
      <c r="N71" s="61"/>
      <c r="O71" s="61"/>
      <c r="P71" s="68"/>
      <c r="Q71" s="76"/>
      <c r="R71" s="77" t="e">
        <f>Q71/(P71*100)</f>
        <v>#DIV/0!</v>
      </c>
    </row>
    <row r="72" spans="2:18">
      <c r="B72" s="78"/>
      <c r="C72" s="61"/>
      <c r="D72" s="61"/>
      <c r="E72" s="58"/>
      <c r="F72" s="52"/>
      <c r="G72" s="79"/>
      <c r="H72" s="80"/>
      <c r="I72" s="80"/>
      <c r="J72" s="82"/>
      <c r="K72" s="83"/>
      <c r="L72" s="82"/>
      <c r="M72" s="83"/>
      <c r="N72" s="61"/>
      <c r="O72" s="61"/>
      <c r="P72" s="68"/>
      <c r="Q72" s="58"/>
      <c r="R72" s="77"/>
    </row>
    <row r="73" spans="2:18">
      <c r="B73" s="78"/>
      <c r="C73" s="61"/>
      <c r="D73" s="61"/>
      <c r="E73" s="58"/>
      <c r="F73" s="52"/>
      <c r="G73" s="79"/>
      <c r="H73" s="80"/>
      <c r="I73" s="80"/>
      <c r="J73" s="82"/>
      <c r="K73" s="83"/>
      <c r="L73" s="82"/>
      <c r="M73" s="83"/>
      <c r="N73" s="61"/>
      <c r="O73" s="61"/>
      <c r="P73" s="68"/>
      <c r="Q73" s="58"/>
      <c r="R73" s="77"/>
    </row>
    <row r="74" spans="2:18">
      <c r="Q74" s="84"/>
      <c r="R74" s="85"/>
    </row>
    <row r="75" spans="2:18">
      <c r="Q75" s="84"/>
      <c r="R75" s="85"/>
    </row>
    <row r="76" spans="2:18">
      <c r="Q76" s="84"/>
      <c r="R76" s="85"/>
    </row>
    <row r="77" spans="2:18">
      <c r="Q77" s="84"/>
      <c r="R77" s="85"/>
    </row>
    <row r="78" spans="2:18">
      <c r="Q78" s="84"/>
      <c r="R78" s="85"/>
    </row>
    <row r="79" spans="2:18">
      <c r="Q79" s="84"/>
      <c r="R79" s="85"/>
    </row>
    <row r="80" spans="2:18">
      <c r="Q80" s="84"/>
      <c r="R80" s="85"/>
    </row>
    <row r="81" spans="17:18">
      <c r="Q81" s="84"/>
      <c r="R81" s="85"/>
    </row>
  </sheetData>
  <mergeCells count="17">
    <mergeCell ref="B2:K3"/>
    <mergeCell ref="M2:O3"/>
    <mergeCell ref="P2:R3"/>
    <mergeCell ref="B4:O4"/>
    <mergeCell ref="P4:R4"/>
    <mergeCell ref="B5:B6"/>
    <mergeCell ref="C5:C6"/>
    <mergeCell ref="D5:D6"/>
    <mergeCell ref="E5:E6"/>
    <mergeCell ref="F5:F6"/>
    <mergeCell ref="Q5:Q6"/>
    <mergeCell ref="R5:R6"/>
    <mergeCell ref="G5:G6"/>
    <mergeCell ref="I5:I6"/>
    <mergeCell ref="N5:N6"/>
    <mergeCell ref="O5:O6"/>
    <mergeCell ref="P5:P6"/>
  </mergeCells>
  <phoneticPr fontId="34" type="noConversion"/>
  <conditionalFormatting sqref="B11">
    <cfRule type="cellIs" dxfId="66" priority="18" operator="greaterThan">
      <formula>1</formula>
    </cfRule>
    <cfRule type="cellIs" dxfId="65" priority="17" operator="between">
      <formula>0.75</formula>
      <formula>1</formula>
    </cfRule>
    <cfRule type="cellIs" dxfId="64" priority="16" operator="between">
      <formula>0.5</formula>
      <formula>0.75</formula>
    </cfRule>
    <cfRule type="cellIs" dxfId="63" priority="15" operator="between">
      <formula>0.5</formula>
      <formula>0.75</formula>
    </cfRule>
    <cfRule type="cellIs" dxfId="62" priority="14" operator="between">
      <formula>0.25</formula>
      <formula>0.5</formula>
    </cfRule>
    <cfRule type="cellIs" dxfId="61" priority="13" operator="lessThan">
      <formula>0.25</formula>
    </cfRule>
    <cfRule type="cellIs" dxfId="60" priority="12" operator="between">
      <formula>0.75</formula>
      <formula>1</formula>
    </cfRule>
  </conditionalFormatting>
  <conditionalFormatting sqref="M11">
    <cfRule type="cellIs" dxfId="59" priority="11" operator="greaterThan">
      <formula>0</formula>
    </cfRule>
    <cfRule type="cellIs" dxfId="58" priority="10" operator="lessThan">
      <formula>0</formula>
    </cfRule>
  </conditionalFormatting>
  <conditionalFormatting sqref="B54">
    <cfRule type="cellIs" dxfId="57" priority="9" operator="greaterThan">
      <formula>1</formula>
    </cfRule>
    <cfRule type="cellIs" dxfId="56" priority="8" operator="between">
      <formula>0.75</formula>
      <formula>1</formula>
    </cfRule>
    <cfRule type="cellIs" dxfId="55" priority="7" operator="between">
      <formula>0.5</formula>
      <formula>0.75</formula>
    </cfRule>
    <cfRule type="cellIs" dxfId="54" priority="6" operator="between">
      <formula>0.5</formula>
      <formula>0.75</formula>
    </cfRule>
    <cfRule type="cellIs" dxfId="53" priority="5" operator="between">
      <formula>0.25</formula>
      <formula>0.5</formula>
    </cfRule>
    <cfRule type="cellIs" dxfId="52" priority="4" operator="lessThan">
      <formula>0.25</formula>
    </cfRule>
    <cfRule type="cellIs" dxfId="51" priority="3" operator="between">
      <formula>0.75</formula>
      <formula>1</formula>
    </cfRule>
  </conditionalFormatting>
  <conditionalFormatting sqref="M54">
    <cfRule type="cellIs" dxfId="50" priority="2" operator="greaterThan">
      <formula>0</formula>
    </cfRule>
    <cfRule type="cellIs" dxfId="49" priority="1" operator="lessThan">
      <formula>0</formula>
    </cfRule>
  </conditionalFormatting>
  <conditionalFormatting sqref="B7:B10 B12:B53 B55:B71">
    <cfRule type="cellIs" dxfId="48" priority="27" operator="greaterThan">
      <formula>1</formula>
    </cfRule>
    <cfRule type="cellIs" dxfId="47" priority="26" operator="between">
      <formula>0.75</formula>
      <formula>1</formula>
    </cfRule>
    <cfRule type="cellIs" dxfId="46" priority="25" operator="between">
      <formula>0.5</formula>
      <formula>0.75</formula>
    </cfRule>
    <cfRule type="cellIs" dxfId="45" priority="24" operator="between">
      <formula>0.5</formula>
      <formula>0.75</formula>
    </cfRule>
    <cfRule type="cellIs" dxfId="44" priority="23" operator="between">
      <formula>0.25</formula>
      <formula>0.5</formula>
    </cfRule>
    <cfRule type="cellIs" dxfId="43" priority="22" operator="lessThan">
      <formula>0.25</formula>
    </cfRule>
  </conditionalFormatting>
  <conditionalFormatting sqref="B7:B10 B12:B53 B55:B73">
    <cfRule type="cellIs" dxfId="42" priority="21" operator="between">
      <formula>0.75</formula>
      <formula>1</formula>
    </cfRule>
  </conditionalFormatting>
  <conditionalFormatting sqref="M7:M10 M12:M53 M55:M71">
    <cfRule type="cellIs" dxfId="41" priority="20" operator="greaterThan">
      <formula>0</formula>
    </cfRule>
    <cfRule type="cellIs" dxfId="40" priority="19" operator="lessThan">
      <formula>0</formula>
    </cfRule>
  </conditionalFormatting>
  <pageMargins left="0.118055555555556" right="0.11805555555555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O152"/>
  <sheetViews>
    <sheetView zoomScale="70" zoomScaleNormal="70" workbookViewId="0">
      <pane ySplit="2" topLeftCell="A3" activePane="bottomLeft" state="frozen"/>
      <selection pane="bottomLeft" activeCell="M3" sqref="M3"/>
    </sheetView>
  </sheetViews>
  <sheetFormatPr defaultColWidth="9.5" defaultRowHeight="14.25"/>
  <cols>
    <col min="1" max="1" width="9.5" style="20"/>
    <col min="2" max="2" width="12.875" style="20" customWidth="1"/>
    <col min="3" max="3" width="13" style="20" customWidth="1"/>
    <col min="4" max="4" width="31.375" style="21" customWidth="1"/>
    <col min="5" max="5" width="9.875" style="20" customWidth="1"/>
    <col min="6" max="7" width="6.25" style="20" customWidth="1"/>
    <col min="8" max="10" width="7.875" style="20" customWidth="1"/>
    <col min="11" max="12" width="8.625" style="20" customWidth="1"/>
    <col min="13" max="13" width="12.5" style="20" customWidth="1"/>
    <col min="14" max="14" width="13.125" style="20" customWidth="1"/>
    <col min="15" max="15" width="49.75" style="21" customWidth="1"/>
    <col min="16" max="16" width="12.25" style="20" customWidth="1"/>
    <col min="17" max="16384" width="9.5" style="20"/>
  </cols>
  <sheetData>
    <row r="1" spans="1:15" ht="110.1" customHeight="1">
      <c r="A1" s="124" t="s">
        <v>27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6"/>
      <c r="O1" s="113"/>
    </row>
    <row r="2" spans="1:15" s="19" customFormat="1" ht="110.1" customHeight="1">
      <c r="A2" s="22" t="s">
        <v>28</v>
      </c>
      <c r="B2" s="22" t="s">
        <v>29</v>
      </c>
      <c r="C2" s="22" t="s">
        <v>30</v>
      </c>
      <c r="D2" s="22" t="s">
        <v>31</v>
      </c>
      <c r="E2" s="22" t="s">
        <v>32</v>
      </c>
      <c r="F2" s="127" t="s">
        <v>33</v>
      </c>
      <c r="G2" s="127"/>
      <c r="H2" s="22" t="s">
        <v>34</v>
      </c>
      <c r="I2" s="22" t="s">
        <v>35</v>
      </c>
      <c r="J2" s="22" t="s">
        <v>36</v>
      </c>
      <c r="K2" s="22" t="s">
        <v>37</v>
      </c>
      <c r="L2" s="22" t="s">
        <v>38</v>
      </c>
      <c r="M2" s="22" t="s">
        <v>39</v>
      </c>
      <c r="N2" s="22" t="s">
        <v>40</v>
      </c>
      <c r="O2" s="114"/>
    </row>
    <row r="3" spans="1:15" s="19" customFormat="1" ht="20.100000000000001" customHeight="1">
      <c r="A3" s="117" t="s">
        <v>41</v>
      </c>
      <c r="B3" s="23" t="s">
        <v>42</v>
      </c>
      <c r="C3" s="23" t="s">
        <v>25</v>
      </c>
      <c r="D3" s="24" t="s">
        <v>43</v>
      </c>
      <c r="E3" s="23">
        <v>80</v>
      </c>
      <c r="F3" s="23">
        <v>15</v>
      </c>
      <c r="G3" s="23">
        <v>35</v>
      </c>
      <c r="H3" s="25">
        <v>1200</v>
      </c>
      <c r="I3" s="33">
        <v>2800</v>
      </c>
      <c r="J3" s="23">
        <v>100</v>
      </c>
      <c r="K3" s="23">
        <v>12.56</v>
      </c>
      <c r="L3" s="23">
        <v>1443.19</v>
      </c>
      <c r="M3" s="23" t="s">
        <v>44</v>
      </c>
      <c r="N3" s="23" t="s">
        <v>45</v>
      </c>
      <c r="O3" s="34"/>
    </row>
    <row r="4" spans="1:15" s="19" customFormat="1" ht="20.100000000000001" customHeight="1">
      <c r="A4" s="118"/>
      <c r="B4" s="26"/>
      <c r="C4" s="26"/>
      <c r="D4" s="27"/>
      <c r="E4" s="26"/>
      <c r="F4" s="26"/>
      <c r="G4" s="26"/>
      <c r="H4" s="28">
        <f t="shared" ref="H4:H66" si="0">E4*F4</f>
        <v>0</v>
      </c>
      <c r="I4" s="35">
        <f t="shared" ref="I4:I66" si="1">E4*G4</f>
        <v>0</v>
      </c>
      <c r="J4" s="26"/>
      <c r="K4" s="26"/>
      <c r="L4" s="26"/>
      <c r="M4" s="26"/>
      <c r="N4" s="32"/>
      <c r="O4" s="34"/>
    </row>
    <row r="5" spans="1:15" s="19" customFormat="1" ht="20.100000000000001" customHeight="1">
      <c r="A5" s="118"/>
      <c r="B5" s="26"/>
      <c r="C5" s="26"/>
      <c r="D5" s="27"/>
      <c r="E5" s="26"/>
      <c r="F5" s="26"/>
      <c r="G5" s="26"/>
      <c r="H5" s="28">
        <f t="shared" si="0"/>
        <v>0</v>
      </c>
      <c r="I5" s="35">
        <f t="shared" si="1"/>
        <v>0</v>
      </c>
      <c r="J5" s="26"/>
      <c r="K5" s="26"/>
      <c r="L5" s="26"/>
      <c r="M5" s="26"/>
      <c r="N5" s="32"/>
      <c r="O5" s="34"/>
    </row>
    <row r="6" spans="1:15" s="19" customFormat="1" ht="20.100000000000001" customHeight="1">
      <c r="A6" s="118"/>
      <c r="B6" s="26"/>
      <c r="C6" s="26"/>
      <c r="D6" s="27"/>
      <c r="E6" s="26"/>
      <c r="F6" s="26"/>
      <c r="G6" s="26"/>
      <c r="H6" s="28">
        <f t="shared" si="0"/>
        <v>0</v>
      </c>
      <c r="I6" s="35">
        <f t="shared" si="1"/>
        <v>0</v>
      </c>
      <c r="J6" s="26"/>
      <c r="K6" s="26"/>
      <c r="L6" s="26"/>
      <c r="M6" s="26"/>
      <c r="N6" s="32"/>
      <c r="O6" s="34"/>
    </row>
    <row r="7" spans="1:15" s="19" customFormat="1" ht="20.100000000000001" customHeight="1">
      <c r="A7" s="118"/>
      <c r="B7" s="26"/>
      <c r="C7" s="26"/>
      <c r="D7" s="27"/>
      <c r="E7" s="26"/>
      <c r="F7" s="26"/>
      <c r="G7" s="26"/>
      <c r="H7" s="28">
        <f t="shared" si="0"/>
        <v>0</v>
      </c>
      <c r="I7" s="35">
        <f t="shared" si="1"/>
        <v>0</v>
      </c>
      <c r="J7" s="26"/>
      <c r="K7" s="26"/>
      <c r="L7" s="26"/>
      <c r="M7" s="32"/>
      <c r="N7" s="32"/>
      <c r="O7" s="34"/>
    </row>
    <row r="8" spans="1:15" s="19" customFormat="1" ht="20.100000000000001" customHeight="1">
      <c r="A8" s="118"/>
      <c r="B8" s="26"/>
      <c r="C8" s="26"/>
      <c r="D8" s="27"/>
      <c r="E8" s="26"/>
      <c r="F8" s="26"/>
      <c r="G8" s="26"/>
      <c r="H8" s="28">
        <f t="shared" si="0"/>
        <v>0</v>
      </c>
      <c r="I8" s="35">
        <f t="shared" si="1"/>
        <v>0</v>
      </c>
      <c r="J8" s="26"/>
      <c r="K8" s="26"/>
      <c r="L8" s="36"/>
      <c r="M8" s="26"/>
      <c r="N8" s="32"/>
      <c r="O8" s="34"/>
    </row>
    <row r="9" spans="1:15" s="19" customFormat="1" ht="20.100000000000001" customHeight="1">
      <c r="A9" s="118"/>
      <c r="B9" s="26"/>
      <c r="C9" s="26"/>
      <c r="D9" s="27"/>
      <c r="E9" s="26"/>
      <c r="F9" s="26"/>
      <c r="G9" s="26"/>
      <c r="H9" s="28">
        <f t="shared" si="0"/>
        <v>0</v>
      </c>
      <c r="I9" s="35">
        <f t="shared" si="1"/>
        <v>0</v>
      </c>
      <c r="J9" s="26"/>
      <c r="K9" s="26"/>
      <c r="L9" s="26"/>
      <c r="M9" s="26"/>
      <c r="N9" s="32"/>
      <c r="O9" s="34"/>
    </row>
    <row r="10" spans="1:15" s="19" customFormat="1" ht="20.100000000000001" customHeight="1">
      <c r="A10" s="119"/>
      <c r="B10" s="26"/>
      <c r="C10" s="26"/>
      <c r="D10" s="27"/>
      <c r="E10" s="26"/>
      <c r="F10" s="26"/>
      <c r="G10" s="26"/>
      <c r="H10" s="28">
        <f t="shared" si="0"/>
        <v>0</v>
      </c>
      <c r="I10" s="35">
        <f t="shared" si="1"/>
        <v>0</v>
      </c>
      <c r="J10" s="26"/>
      <c r="K10" s="26"/>
      <c r="L10" s="26"/>
      <c r="M10" s="26"/>
      <c r="N10" s="32"/>
      <c r="O10" s="34"/>
    </row>
    <row r="11" spans="1:15" s="19" customFormat="1" ht="20.100000000000001" customHeight="1">
      <c r="A11" s="117" t="s">
        <v>46</v>
      </c>
      <c r="B11" s="26"/>
      <c r="C11" s="26"/>
      <c r="D11" s="27"/>
      <c r="E11" s="26"/>
      <c r="F11" s="26"/>
      <c r="G11" s="26"/>
      <c r="H11" s="28">
        <f t="shared" si="0"/>
        <v>0</v>
      </c>
      <c r="I11" s="35">
        <f t="shared" si="1"/>
        <v>0</v>
      </c>
      <c r="J11" s="26"/>
      <c r="K11" s="26"/>
      <c r="L11" s="26"/>
      <c r="M11" s="26"/>
      <c r="N11" s="32"/>
      <c r="O11" s="37"/>
    </row>
    <row r="12" spans="1:15" s="19" customFormat="1" ht="20.100000000000001" customHeight="1">
      <c r="A12" s="118"/>
      <c r="B12" s="26"/>
      <c r="C12" s="26"/>
      <c r="D12" s="27"/>
      <c r="E12" s="26"/>
      <c r="F12" s="26"/>
      <c r="G12" s="26"/>
      <c r="H12" s="28">
        <f t="shared" si="0"/>
        <v>0</v>
      </c>
      <c r="I12" s="35">
        <f t="shared" si="1"/>
        <v>0</v>
      </c>
      <c r="J12" s="26"/>
      <c r="K12" s="26"/>
      <c r="L12" s="26"/>
      <c r="M12" s="32"/>
      <c r="N12" s="32"/>
      <c r="O12" s="37"/>
    </row>
    <row r="13" spans="1:15" s="19" customFormat="1" ht="20.100000000000001" customHeight="1">
      <c r="A13" s="118"/>
      <c r="B13" s="26"/>
      <c r="C13" s="26"/>
      <c r="D13" s="27"/>
      <c r="E13" s="26"/>
      <c r="F13" s="26"/>
      <c r="G13" s="26"/>
      <c r="H13" s="28">
        <f t="shared" si="0"/>
        <v>0</v>
      </c>
      <c r="I13" s="35">
        <f t="shared" si="1"/>
        <v>0</v>
      </c>
      <c r="J13" s="26"/>
      <c r="K13" s="26"/>
      <c r="L13" s="26"/>
      <c r="M13" s="32"/>
      <c r="N13" s="32"/>
      <c r="O13" s="37"/>
    </row>
    <row r="14" spans="1:15" s="19" customFormat="1" ht="20.100000000000001" customHeight="1">
      <c r="A14" s="118"/>
      <c r="B14" s="26"/>
      <c r="C14" s="26"/>
      <c r="D14" s="27"/>
      <c r="E14" s="26"/>
      <c r="F14" s="26"/>
      <c r="G14" s="26"/>
      <c r="H14" s="28">
        <f t="shared" si="0"/>
        <v>0</v>
      </c>
      <c r="I14" s="35">
        <f t="shared" si="1"/>
        <v>0</v>
      </c>
      <c r="J14" s="26"/>
      <c r="K14" s="26"/>
      <c r="L14" s="26"/>
      <c r="M14" s="32"/>
      <c r="N14" s="32"/>
      <c r="O14" s="37"/>
    </row>
    <row r="15" spans="1:15" s="19" customFormat="1" ht="20.100000000000001" customHeight="1">
      <c r="A15" s="118"/>
      <c r="B15" s="26"/>
      <c r="C15" s="26"/>
      <c r="D15" s="27"/>
      <c r="E15" s="26"/>
      <c r="F15" s="26"/>
      <c r="G15" s="26"/>
      <c r="H15" s="28">
        <f t="shared" si="0"/>
        <v>0</v>
      </c>
      <c r="I15" s="35">
        <f t="shared" si="1"/>
        <v>0</v>
      </c>
      <c r="J15" s="26"/>
      <c r="K15" s="26"/>
      <c r="L15" s="26"/>
      <c r="M15" s="32"/>
      <c r="N15" s="32"/>
      <c r="O15" s="37"/>
    </row>
    <row r="16" spans="1:15" s="19" customFormat="1" ht="20.100000000000001" customHeight="1">
      <c r="A16" s="118"/>
      <c r="B16" s="26"/>
      <c r="C16" s="26"/>
      <c r="D16" s="27"/>
      <c r="E16" s="26"/>
      <c r="F16" s="26"/>
      <c r="G16" s="26"/>
      <c r="H16" s="28">
        <f t="shared" si="0"/>
        <v>0</v>
      </c>
      <c r="I16" s="35">
        <f t="shared" si="1"/>
        <v>0</v>
      </c>
      <c r="J16" s="26"/>
      <c r="K16" s="26"/>
      <c r="L16" s="26"/>
      <c r="M16" s="32"/>
      <c r="N16" s="32"/>
      <c r="O16" s="37"/>
    </row>
    <row r="17" spans="1:15" s="19" customFormat="1" ht="20.100000000000001" customHeight="1">
      <c r="A17" s="118"/>
      <c r="B17" s="26"/>
      <c r="C17" s="26"/>
      <c r="D17" s="27"/>
      <c r="E17" s="26"/>
      <c r="F17" s="26"/>
      <c r="G17" s="26"/>
      <c r="H17" s="28">
        <f t="shared" si="0"/>
        <v>0</v>
      </c>
      <c r="I17" s="35">
        <f t="shared" si="1"/>
        <v>0</v>
      </c>
      <c r="J17" s="26"/>
      <c r="K17" s="26"/>
      <c r="L17" s="26"/>
      <c r="M17" s="32"/>
      <c r="N17" s="32"/>
      <c r="O17" s="37"/>
    </row>
    <row r="18" spans="1:15" s="19" customFormat="1" ht="20.100000000000001" customHeight="1">
      <c r="A18" s="118"/>
      <c r="B18" s="26"/>
      <c r="C18" s="26"/>
      <c r="D18" s="27"/>
      <c r="E18" s="26"/>
      <c r="F18" s="26"/>
      <c r="G18" s="26"/>
      <c r="H18" s="28">
        <f t="shared" si="0"/>
        <v>0</v>
      </c>
      <c r="I18" s="35">
        <f t="shared" si="1"/>
        <v>0</v>
      </c>
      <c r="J18" s="26"/>
      <c r="K18" s="26"/>
      <c r="L18" s="36"/>
      <c r="M18" s="26"/>
      <c r="N18" s="32"/>
      <c r="O18" s="37"/>
    </row>
    <row r="19" spans="1:15" s="19" customFormat="1" ht="20.100000000000001" customHeight="1">
      <c r="A19" s="118"/>
      <c r="B19" s="26"/>
      <c r="C19" s="26"/>
      <c r="D19" s="27"/>
      <c r="E19" s="26"/>
      <c r="F19" s="26"/>
      <c r="G19" s="26"/>
      <c r="H19" s="28">
        <f t="shared" si="0"/>
        <v>0</v>
      </c>
      <c r="I19" s="35">
        <f t="shared" si="1"/>
        <v>0</v>
      </c>
      <c r="J19" s="26"/>
      <c r="K19" s="26"/>
      <c r="L19" s="26"/>
      <c r="M19" s="32"/>
      <c r="N19" s="32"/>
      <c r="O19" s="37"/>
    </row>
    <row r="20" spans="1:15" ht="20.100000000000001" customHeight="1">
      <c r="A20" s="118"/>
      <c r="B20" s="26"/>
      <c r="C20" s="26"/>
      <c r="D20" s="27"/>
      <c r="E20" s="26"/>
      <c r="F20" s="26"/>
      <c r="G20" s="26"/>
      <c r="H20" s="28">
        <f t="shared" si="0"/>
        <v>0</v>
      </c>
      <c r="I20" s="35">
        <f t="shared" si="1"/>
        <v>0</v>
      </c>
      <c r="J20" s="26"/>
      <c r="K20" s="26"/>
      <c r="L20" s="26"/>
      <c r="M20" s="32"/>
      <c r="N20" s="32"/>
    </row>
    <row r="21" spans="1:15" ht="20.100000000000001" customHeight="1">
      <c r="A21" s="118"/>
      <c r="B21" s="26"/>
      <c r="C21" s="26"/>
      <c r="D21" s="27"/>
      <c r="E21" s="26"/>
      <c r="F21" s="26"/>
      <c r="G21" s="26"/>
      <c r="H21" s="28">
        <f t="shared" si="0"/>
        <v>0</v>
      </c>
      <c r="I21" s="35">
        <f t="shared" si="1"/>
        <v>0</v>
      </c>
      <c r="J21" s="26"/>
      <c r="K21" s="26"/>
      <c r="L21" s="26"/>
      <c r="M21" s="32"/>
      <c r="N21" s="32"/>
    </row>
    <row r="22" spans="1:15" ht="20.100000000000001" customHeight="1">
      <c r="A22" s="118"/>
      <c r="B22" s="26"/>
      <c r="C22" s="26"/>
      <c r="D22" s="27"/>
      <c r="E22" s="26"/>
      <c r="F22" s="26"/>
      <c r="G22" s="26"/>
      <c r="H22" s="28">
        <f t="shared" si="0"/>
        <v>0</v>
      </c>
      <c r="I22" s="35">
        <f t="shared" si="1"/>
        <v>0</v>
      </c>
      <c r="J22" s="26"/>
      <c r="K22" s="26"/>
      <c r="L22" s="26"/>
      <c r="M22" s="26"/>
      <c r="N22" s="32"/>
    </row>
    <row r="23" spans="1:15" ht="20.100000000000001" customHeight="1">
      <c r="A23" s="118"/>
      <c r="B23" s="26"/>
      <c r="C23" s="26"/>
      <c r="D23" s="27"/>
      <c r="E23" s="26"/>
      <c r="F23" s="26"/>
      <c r="G23" s="26"/>
      <c r="H23" s="28">
        <f t="shared" si="0"/>
        <v>0</v>
      </c>
      <c r="I23" s="35">
        <f t="shared" si="1"/>
        <v>0</v>
      </c>
      <c r="J23" s="26"/>
      <c r="K23" s="26"/>
      <c r="L23" s="26"/>
      <c r="M23" s="26"/>
      <c r="N23" s="32"/>
    </row>
    <row r="24" spans="1:15" ht="20.100000000000001" customHeight="1">
      <c r="A24" s="118"/>
      <c r="B24" s="26"/>
      <c r="C24" s="26"/>
      <c r="D24" s="27"/>
      <c r="E24" s="26"/>
      <c r="F24" s="26"/>
      <c r="G24" s="26"/>
      <c r="H24" s="28">
        <f t="shared" si="0"/>
        <v>0</v>
      </c>
      <c r="I24" s="35">
        <f t="shared" si="1"/>
        <v>0</v>
      </c>
      <c r="J24" s="26"/>
      <c r="K24" s="26"/>
      <c r="L24" s="26"/>
      <c r="M24" s="32"/>
      <c r="N24" s="32"/>
    </row>
    <row r="25" spans="1:15" ht="20.100000000000001" customHeight="1">
      <c r="A25" s="118"/>
      <c r="B25" s="26"/>
      <c r="C25" s="26"/>
      <c r="D25" s="27"/>
      <c r="E25" s="26"/>
      <c r="F25" s="26"/>
      <c r="G25" s="26"/>
      <c r="H25" s="28">
        <f t="shared" si="0"/>
        <v>0</v>
      </c>
      <c r="I25" s="35">
        <f t="shared" si="1"/>
        <v>0</v>
      </c>
      <c r="J25" s="26"/>
      <c r="K25" s="26"/>
      <c r="L25" s="26"/>
      <c r="M25" s="26"/>
      <c r="N25" s="32"/>
    </row>
    <row r="26" spans="1:15" ht="20.100000000000001" customHeight="1">
      <c r="A26" s="118"/>
      <c r="B26" s="26"/>
      <c r="C26" s="26"/>
      <c r="D26" s="27"/>
      <c r="E26" s="26"/>
      <c r="F26" s="26"/>
      <c r="G26" s="26"/>
      <c r="H26" s="28">
        <f t="shared" si="0"/>
        <v>0</v>
      </c>
      <c r="I26" s="35">
        <f t="shared" si="1"/>
        <v>0</v>
      </c>
      <c r="J26" s="26"/>
      <c r="K26" s="26"/>
      <c r="L26" s="26"/>
      <c r="M26" s="26"/>
      <c r="N26" s="32"/>
    </row>
    <row r="27" spans="1:15" ht="20.100000000000001" customHeight="1">
      <c r="A27" s="119"/>
      <c r="B27" s="26"/>
      <c r="C27" s="26"/>
      <c r="D27" s="29"/>
      <c r="E27" s="26"/>
      <c r="F27" s="26"/>
      <c r="G27" s="26"/>
      <c r="H27" s="28">
        <f t="shared" si="0"/>
        <v>0</v>
      </c>
      <c r="I27" s="35">
        <f t="shared" si="1"/>
        <v>0</v>
      </c>
      <c r="J27" s="26"/>
      <c r="K27" s="26"/>
      <c r="L27" s="26"/>
      <c r="M27" s="26"/>
      <c r="N27" s="32"/>
    </row>
    <row r="28" spans="1:15" ht="20.100000000000001" customHeight="1">
      <c r="A28" s="112" t="s">
        <v>47</v>
      </c>
      <c r="B28" s="26"/>
      <c r="C28" s="26"/>
      <c r="D28" s="27"/>
      <c r="E28" s="26"/>
      <c r="F28" s="26"/>
      <c r="G28" s="26"/>
      <c r="H28" s="28">
        <f t="shared" si="0"/>
        <v>0</v>
      </c>
      <c r="I28" s="35">
        <f t="shared" si="1"/>
        <v>0</v>
      </c>
      <c r="J28" s="26"/>
      <c r="K28" s="26"/>
      <c r="L28" s="26"/>
      <c r="M28" s="32"/>
      <c r="N28" s="32"/>
    </row>
    <row r="29" spans="1:15" ht="20.100000000000001" customHeight="1">
      <c r="A29" s="112"/>
      <c r="B29" s="26"/>
      <c r="C29" s="26"/>
      <c r="D29" s="27"/>
      <c r="E29" s="26"/>
      <c r="F29" s="26"/>
      <c r="G29" s="26"/>
      <c r="H29" s="28">
        <f t="shared" si="0"/>
        <v>0</v>
      </c>
      <c r="I29" s="35">
        <f t="shared" si="1"/>
        <v>0</v>
      </c>
      <c r="J29" s="26"/>
      <c r="K29" s="26"/>
      <c r="L29" s="26"/>
      <c r="M29" s="32"/>
      <c r="N29" s="32"/>
    </row>
    <row r="30" spans="1:15" ht="20.100000000000001" customHeight="1">
      <c r="A30" s="112"/>
      <c r="B30" s="26"/>
      <c r="C30" s="26"/>
      <c r="D30" s="27"/>
      <c r="E30" s="26"/>
      <c r="F30" s="26"/>
      <c r="G30" s="26"/>
      <c r="H30" s="28">
        <f t="shared" si="0"/>
        <v>0</v>
      </c>
      <c r="I30" s="35">
        <f t="shared" si="1"/>
        <v>0</v>
      </c>
      <c r="J30" s="26"/>
      <c r="K30" s="26"/>
      <c r="L30" s="26"/>
      <c r="M30" s="26"/>
      <c r="N30" s="32"/>
    </row>
    <row r="31" spans="1:15" ht="20.100000000000001" customHeight="1">
      <c r="A31" s="112"/>
      <c r="B31" s="26"/>
      <c r="C31" s="26"/>
      <c r="D31" s="27"/>
      <c r="E31" s="26"/>
      <c r="F31" s="26"/>
      <c r="G31" s="26"/>
      <c r="H31" s="28">
        <f t="shared" si="0"/>
        <v>0</v>
      </c>
      <c r="I31" s="35">
        <f t="shared" si="1"/>
        <v>0</v>
      </c>
      <c r="J31" s="26"/>
      <c r="K31" s="26"/>
      <c r="L31" s="26"/>
      <c r="M31" s="32"/>
      <c r="N31" s="32"/>
    </row>
    <row r="32" spans="1:15" ht="20.100000000000001" customHeight="1">
      <c r="A32" s="112"/>
      <c r="B32" s="26"/>
      <c r="C32" s="26"/>
      <c r="D32" s="27"/>
      <c r="E32" s="26"/>
      <c r="F32" s="26"/>
      <c r="G32" s="26"/>
      <c r="H32" s="28">
        <f t="shared" si="0"/>
        <v>0</v>
      </c>
      <c r="I32" s="35">
        <f t="shared" si="1"/>
        <v>0</v>
      </c>
      <c r="J32" s="26"/>
      <c r="K32" s="26"/>
      <c r="L32" s="26"/>
      <c r="M32" s="26"/>
      <c r="N32" s="32"/>
    </row>
    <row r="33" spans="1:14" ht="20.100000000000001" customHeight="1">
      <c r="A33" s="112"/>
      <c r="B33" s="26"/>
      <c r="C33" s="26"/>
      <c r="D33" s="27"/>
      <c r="E33" s="26"/>
      <c r="F33" s="26"/>
      <c r="G33" s="26"/>
      <c r="H33" s="28">
        <f t="shared" si="0"/>
        <v>0</v>
      </c>
      <c r="I33" s="35">
        <f t="shared" si="1"/>
        <v>0</v>
      </c>
      <c r="J33" s="26"/>
      <c r="K33" s="26"/>
      <c r="L33" s="26"/>
      <c r="M33" s="26"/>
      <c r="N33" s="32"/>
    </row>
    <row r="34" spans="1:14" ht="20.100000000000001" customHeight="1">
      <c r="A34" s="112"/>
      <c r="B34" s="26"/>
      <c r="C34" s="26"/>
      <c r="D34" s="27"/>
      <c r="E34" s="26"/>
      <c r="F34" s="26"/>
      <c r="G34" s="26"/>
      <c r="H34" s="28">
        <f t="shared" si="0"/>
        <v>0</v>
      </c>
      <c r="I34" s="35">
        <f t="shared" si="1"/>
        <v>0</v>
      </c>
      <c r="J34" s="26"/>
      <c r="K34" s="26"/>
      <c r="L34" s="26"/>
      <c r="M34" s="26"/>
      <c r="N34" s="32"/>
    </row>
    <row r="35" spans="1:14" ht="20.100000000000001" customHeight="1">
      <c r="A35" s="112"/>
      <c r="B35" s="26"/>
      <c r="C35" s="26"/>
      <c r="E35" s="26"/>
      <c r="F35" s="26"/>
      <c r="G35" s="26"/>
      <c r="H35" s="28">
        <f t="shared" si="0"/>
        <v>0</v>
      </c>
      <c r="I35" s="35">
        <f t="shared" si="1"/>
        <v>0</v>
      </c>
      <c r="J35" s="26"/>
      <c r="K35" s="26"/>
      <c r="L35" s="26"/>
      <c r="M35" s="26"/>
      <c r="N35" s="32"/>
    </row>
    <row r="36" spans="1:14" ht="20.100000000000001" customHeight="1">
      <c r="A36" s="112"/>
      <c r="B36" s="26"/>
      <c r="C36" s="26"/>
      <c r="D36" s="27"/>
      <c r="E36" s="26"/>
      <c r="F36" s="26"/>
      <c r="G36" s="26"/>
      <c r="H36" s="28">
        <f t="shared" si="0"/>
        <v>0</v>
      </c>
      <c r="I36" s="35">
        <f t="shared" si="1"/>
        <v>0</v>
      </c>
      <c r="J36" s="26"/>
      <c r="K36" s="36"/>
      <c r="L36" s="26"/>
      <c r="M36" s="26"/>
      <c r="N36" s="32"/>
    </row>
    <row r="37" spans="1:14" ht="20.100000000000001" customHeight="1">
      <c r="A37" s="116" t="s">
        <v>48</v>
      </c>
      <c r="B37" s="26"/>
      <c r="C37" s="26"/>
      <c r="D37" s="27"/>
      <c r="E37" s="26"/>
      <c r="F37" s="26"/>
      <c r="G37" s="26"/>
      <c r="H37" s="28">
        <f t="shared" si="0"/>
        <v>0</v>
      </c>
      <c r="I37" s="35">
        <f t="shared" si="1"/>
        <v>0</v>
      </c>
      <c r="J37" s="26"/>
      <c r="K37" s="26"/>
      <c r="L37" s="26"/>
      <c r="M37" s="32"/>
      <c r="N37" s="32"/>
    </row>
    <row r="38" spans="1:14" ht="20.100000000000001" customHeight="1">
      <c r="A38" s="116"/>
      <c r="B38" s="26"/>
      <c r="C38" s="26"/>
      <c r="D38" s="27"/>
      <c r="E38" s="26"/>
      <c r="F38" s="26"/>
      <c r="G38" s="26"/>
      <c r="H38" s="28">
        <f t="shared" si="0"/>
        <v>0</v>
      </c>
      <c r="I38" s="35">
        <f t="shared" si="1"/>
        <v>0</v>
      </c>
      <c r="J38" s="26"/>
      <c r="K38" s="26"/>
      <c r="L38" s="26"/>
      <c r="M38" s="32"/>
      <c r="N38" s="32"/>
    </row>
    <row r="39" spans="1:14" ht="20.100000000000001" customHeight="1">
      <c r="A39" s="116"/>
      <c r="B39" s="26"/>
      <c r="C39" s="26"/>
      <c r="D39" s="27"/>
      <c r="E39" s="26"/>
      <c r="F39" s="26"/>
      <c r="G39" s="26"/>
      <c r="H39" s="28">
        <f t="shared" si="0"/>
        <v>0</v>
      </c>
      <c r="I39" s="35">
        <f t="shared" si="1"/>
        <v>0</v>
      </c>
      <c r="J39" s="26"/>
      <c r="K39" s="26"/>
      <c r="L39" s="26"/>
      <c r="M39" s="32"/>
      <c r="N39" s="32"/>
    </row>
    <row r="40" spans="1:14" ht="20.100000000000001" customHeight="1">
      <c r="A40" s="116"/>
      <c r="B40" s="26"/>
      <c r="C40" s="26"/>
      <c r="D40" s="27"/>
      <c r="E40" s="26"/>
      <c r="F40" s="26"/>
      <c r="G40" s="26"/>
      <c r="H40" s="28">
        <f t="shared" si="0"/>
        <v>0</v>
      </c>
      <c r="I40" s="35">
        <f t="shared" si="1"/>
        <v>0</v>
      </c>
      <c r="J40" s="26"/>
      <c r="K40" s="26"/>
      <c r="L40" s="26"/>
      <c r="M40" s="32"/>
      <c r="N40" s="32"/>
    </row>
    <row r="41" spans="1:14" ht="20.100000000000001" customHeight="1">
      <c r="A41" s="116"/>
      <c r="B41" s="26"/>
      <c r="C41" s="26"/>
      <c r="D41" s="27"/>
      <c r="E41" s="26"/>
      <c r="F41" s="26"/>
      <c r="G41" s="26"/>
      <c r="H41" s="28">
        <f t="shared" si="0"/>
        <v>0</v>
      </c>
      <c r="I41" s="35">
        <f t="shared" si="1"/>
        <v>0</v>
      </c>
      <c r="J41" s="26"/>
      <c r="K41" s="26"/>
      <c r="L41" s="26"/>
      <c r="M41" s="32"/>
      <c r="N41" s="32"/>
    </row>
    <row r="42" spans="1:14" ht="20.100000000000001" customHeight="1">
      <c r="A42" s="116"/>
      <c r="B42" s="26"/>
      <c r="C42" s="26"/>
      <c r="D42" s="27"/>
      <c r="E42" s="26"/>
      <c r="F42" s="26"/>
      <c r="G42" s="26"/>
      <c r="H42" s="28">
        <f t="shared" si="0"/>
        <v>0</v>
      </c>
      <c r="I42" s="35">
        <f t="shared" si="1"/>
        <v>0</v>
      </c>
      <c r="J42" s="26"/>
      <c r="K42" s="26"/>
      <c r="L42" s="26"/>
      <c r="M42" s="32"/>
      <c r="N42" s="32"/>
    </row>
    <row r="43" spans="1:14" ht="20.100000000000001" customHeight="1">
      <c r="A43" s="116"/>
      <c r="B43" s="26"/>
      <c r="C43" s="26"/>
      <c r="D43" s="27"/>
      <c r="E43" s="26"/>
      <c r="F43" s="26"/>
      <c r="G43" s="26"/>
      <c r="H43" s="28">
        <f t="shared" si="0"/>
        <v>0</v>
      </c>
      <c r="I43" s="35">
        <f t="shared" si="1"/>
        <v>0</v>
      </c>
      <c r="J43" s="26"/>
      <c r="K43" s="26"/>
      <c r="L43" s="26"/>
      <c r="M43" s="32"/>
      <c r="N43" s="32"/>
    </row>
    <row r="44" spans="1:14" ht="20.100000000000001" customHeight="1">
      <c r="A44" s="116"/>
      <c r="B44" s="26"/>
      <c r="C44" s="26"/>
      <c r="D44" s="27"/>
      <c r="E44" s="26"/>
      <c r="F44" s="26"/>
      <c r="G44" s="26"/>
      <c r="H44" s="28">
        <f t="shared" si="0"/>
        <v>0</v>
      </c>
      <c r="I44" s="35">
        <f t="shared" si="1"/>
        <v>0</v>
      </c>
      <c r="J44" s="26"/>
      <c r="K44" s="26"/>
      <c r="L44" s="26"/>
      <c r="M44" s="32"/>
      <c r="N44" s="32"/>
    </row>
    <row r="45" spans="1:14" ht="20.100000000000001" customHeight="1">
      <c r="A45" s="116"/>
      <c r="B45" s="26"/>
      <c r="C45" s="26"/>
      <c r="D45" s="27"/>
      <c r="E45" s="26"/>
      <c r="F45" s="26"/>
      <c r="G45" s="26"/>
      <c r="H45" s="28">
        <f t="shared" si="0"/>
        <v>0</v>
      </c>
      <c r="I45" s="35">
        <f t="shared" si="1"/>
        <v>0</v>
      </c>
      <c r="J45" s="26"/>
      <c r="K45" s="26"/>
      <c r="L45" s="26"/>
      <c r="M45" s="32"/>
      <c r="N45" s="32"/>
    </row>
    <row r="46" spans="1:14" ht="20.100000000000001" customHeight="1">
      <c r="A46" s="117" t="s">
        <v>49</v>
      </c>
      <c r="B46" s="26"/>
      <c r="C46" s="26"/>
      <c r="D46" s="27"/>
      <c r="E46" s="26"/>
      <c r="F46" s="26"/>
      <c r="G46" s="26"/>
      <c r="H46" s="28">
        <f t="shared" si="0"/>
        <v>0</v>
      </c>
      <c r="I46" s="35">
        <f t="shared" si="1"/>
        <v>0</v>
      </c>
      <c r="J46" s="26"/>
      <c r="K46" s="26"/>
      <c r="L46" s="26"/>
      <c r="M46" s="32"/>
      <c r="N46" s="32"/>
    </row>
    <row r="47" spans="1:14" ht="20.100000000000001" customHeight="1">
      <c r="A47" s="118"/>
      <c r="B47" s="26"/>
      <c r="C47" s="26"/>
      <c r="D47" s="27"/>
      <c r="E47" s="31"/>
      <c r="F47" s="26"/>
      <c r="G47" s="26"/>
      <c r="H47" s="28">
        <f t="shared" si="0"/>
        <v>0</v>
      </c>
      <c r="I47" s="35">
        <f t="shared" si="1"/>
        <v>0</v>
      </c>
      <c r="J47" s="26"/>
      <c r="K47" s="26"/>
      <c r="L47" s="26"/>
      <c r="M47" s="32"/>
      <c r="N47" s="32"/>
    </row>
    <row r="48" spans="1:14" ht="20.100000000000001" customHeight="1">
      <c r="A48" s="118"/>
      <c r="B48" s="26"/>
      <c r="C48" s="26"/>
      <c r="D48" s="27"/>
      <c r="E48" s="26"/>
      <c r="F48" s="26"/>
      <c r="G48" s="26"/>
      <c r="H48" s="28">
        <f t="shared" si="0"/>
        <v>0</v>
      </c>
      <c r="I48" s="35">
        <f t="shared" si="1"/>
        <v>0</v>
      </c>
      <c r="J48" s="26"/>
      <c r="K48" s="26"/>
      <c r="L48" s="26"/>
      <c r="M48" s="32"/>
      <c r="N48" s="32"/>
    </row>
    <row r="49" spans="1:14" ht="20.100000000000001" customHeight="1">
      <c r="A49" s="118"/>
      <c r="B49" s="26"/>
      <c r="C49" s="26"/>
      <c r="D49" s="27"/>
      <c r="E49" s="26"/>
      <c r="F49" s="26"/>
      <c r="G49" s="26"/>
      <c r="H49" s="28">
        <f t="shared" si="0"/>
        <v>0</v>
      </c>
      <c r="I49" s="35">
        <f t="shared" si="1"/>
        <v>0</v>
      </c>
      <c r="J49" s="26"/>
      <c r="K49" s="26"/>
      <c r="L49" s="26"/>
      <c r="M49" s="26"/>
      <c r="N49" s="32"/>
    </row>
    <row r="50" spans="1:14" ht="20.100000000000001" customHeight="1">
      <c r="A50" s="118"/>
      <c r="B50" s="26"/>
      <c r="C50" s="32"/>
      <c r="D50" s="29"/>
      <c r="E50" s="26"/>
      <c r="F50" s="26"/>
      <c r="G50" s="26"/>
      <c r="H50" s="28">
        <f t="shared" si="0"/>
        <v>0</v>
      </c>
      <c r="I50" s="35">
        <f t="shared" si="1"/>
        <v>0</v>
      </c>
      <c r="J50" s="26"/>
      <c r="K50" s="26"/>
      <c r="L50" s="26"/>
      <c r="M50" s="32"/>
      <c r="N50" s="32"/>
    </row>
    <row r="51" spans="1:14" ht="20.100000000000001" customHeight="1">
      <c r="A51" s="121" t="s">
        <v>50</v>
      </c>
      <c r="B51" s="26"/>
      <c r="C51" s="26"/>
      <c r="D51" s="27"/>
      <c r="E51" s="26"/>
      <c r="F51" s="26"/>
      <c r="G51" s="26"/>
      <c r="H51" s="28">
        <f t="shared" si="0"/>
        <v>0</v>
      </c>
      <c r="I51" s="35">
        <f t="shared" si="1"/>
        <v>0</v>
      </c>
      <c r="J51" s="26"/>
      <c r="K51" s="26"/>
      <c r="L51" s="26"/>
      <c r="M51" s="26"/>
      <c r="N51" s="32"/>
    </row>
    <row r="52" spans="1:14" ht="20.100000000000001" customHeight="1">
      <c r="A52" s="122"/>
      <c r="B52" s="26"/>
      <c r="C52" s="26"/>
      <c r="D52" s="27"/>
      <c r="E52" s="26"/>
      <c r="F52" s="26"/>
      <c r="G52" s="26"/>
      <c r="H52" s="28">
        <f t="shared" si="0"/>
        <v>0</v>
      </c>
      <c r="I52" s="35">
        <f t="shared" si="1"/>
        <v>0</v>
      </c>
      <c r="J52" s="26"/>
      <c r="K52" s="26"/>
      <c r="L52" s="26"/>
      <c r="M52" s="26"/>
      <c r="N52" s="32"/>
    </row>
    <row r="53" spans="1:14" ht="20.100000000000001" customHeight="1">
      <c r="A53" s="122"/>
      <c r="B53" s="26"/>
      <c r="C53" s="26"/>
      <c r="D53" s="27"/>
      <c r="E53" s="26"/>
      <c r="F53" s="26"/>
      <c r="G53" s="26"/>
      <c r="H53" s="28">
        <f t="shared" si="0"/>
        <v>0</v>
      </c>
      <c r="I53" s="35">
        <f t="shared" si="1"/>
        <v>0</v>
      </c>
      <c r="J53" s="26"/>
      <c r="K53" s="26"/>
      <c r="L53" s="26"/>
      <c r="M53" s="26"/>
      <c r="N53" s="32"/>
    </row>
    <row r="54" spans="1:14" ht="20.100000000000001" customHeight="1">
      <c r="A54" s="122"/>
      <c r="B54" s="26"/>
      <c r="C54" s="26"/>
      <c r="D54" s="27"/>
      <c r="E54" s="26"/>
      <c r="F54" s="26"/>
      <c r="G54" s="26"/>
      <c r="H54" s="28">
        <f t="shared" si="0"/>
        <v>0</v>
      </c>
      <c r="I54" s="35">
        <f t="shared" si="1"/>
        <v>0</v>
      </c>
      <c r="J54" s="26"/>
      <c r="K54" s="26"/>
      <c r="L54" s="26"/>
      <c r="M54" s="32"/>
      <c r="N54" s="32"/>
    </row>
    <row r="55" spans="1:14" ht="20.100000000000001" customHeight="1">
      <c r="A55" s="122"/>
      <c r="B55" s="26"/>
      <c r="C55" s="26"/>
      <c r="D55" s="27"/>
      <c r="E55" s="31"/>
      <c r="F55" s="26"/>
      <c r="G55" s="26"/>
      <c r="H55" s="28">
        <f t="shared" si="0"/>
        <v>0</v>
      </c>
      <c r="I55" s="35">
        <f t="shared" si="1"/>
        <v>0</v>
      </c>
      <c r="J55" s="26"/>
      <c r="K55" s="26"/>
      <c r="L55" s="26"/>
      <c r="M55" s="32"/>
      <c r="N55" s="32"/>
    </row>
    <row r="56" spans="1:14" ht="20.100000000000001" customHeight="1">
      <c r="A56" s="122"/>
      <c r="B56" s="26"/>
      <c r="C56" s="26"/>
      <c r="D56" s="27"/>
      <c r="E56" s="26"/>
      <c r="F56" s="26"/>
      <c r="G56" s="26"/>
      <c r="H56" s="28">
        <f t="shared" si="0"/>
        <v>0</v>
      </c>
      <c r="I56" s="35">
        <f t="shared" si="1"/>
        <v>0</v>
      </c>
      <c r="J56" s="26"/>
      <c r="K56" s="26"/>
      <c r="L56" s="26"/>
      <c r="M56" s="26"/>
      <c r="N56" s="32"/>
    </row>
    <row r="57" spans="1:14" ht="20.100000000000001" customHeight="1">
      <c r="A57" s="122"/>
      <c r="B57" s="26"/>
      <c r="C57" s="26"/>
      <c r="D57" s="27"/>
      <c r="E57" s="26"/>
      <c r="F57" s="26"/>
      <c r="G57" s="26"/>
      <c r="H57" s="28">
        <f t="shared" si="0"/>
        <v>0</v>
      </c>
      <c r="I57" s="35">
        <f t="shared" si="1"/>
        <v>0</v>
      </c>
      <c r="J57" s="26"/>
      <c r="K57" s="26"/>
      <c r="L57" s="26"/>
      <c r="M57" s="26"/>
      <c r="N57" s="32"/>
    </row>
    <row r="58" spans="1:14" ht="20.100000000000001" customHeight="1">
      <c r="A58" s="122"/>
      <c r="B58" s="26"/>
      <c r="C58" s="26"/>
      <c r="D58" s="27"/>
      <c r="E58" s="26"/>
      <c r="F58" s="26"/>
      <c r="G58" s="26"/>
      <c r="H58" s="28">
        <f t="shared" si="0"/>
        <v>0</v>
      </c>
      <c r="I58" s="35">
        <f t="shared" si="1"/>
        <v>0</v>
      </c>
      <c r="J58" s="26"/>
      <c r="K58" s="26"/>
      <c r="L58" s="26"/>
      <c r="M58" s="26"/>
      <c r="N58" s="32"/>
    </row>
    <row r="59" spans="1:14" ht="20.100000000000001" customHeight="1">
      <c r="A59" s="123"/>
      <c r="B59" s="26"/>
      <c r="C59" s="26"/>
      <c r="D59" s="27"/>
      <c r="E59" s="26"/>
      <c r="F59" s="26"/>
      <c r="G59" s="26"/>
      <c r="H59" s="28">
        <f t="shared" si="0"/>
        <v>0</v>
      </c>
      <c r="I59" s="35">
        <f t="shared" si="1"/>
        <v>0</v>
      </c>
      <c r="J59" s="26"/>
      <c r="K59" s="26"/>
      <c r="L59" s="26"/>
      <c r="M59" s="26"/>
      <c r="N59" s="32"/>
    </row>
    <row r="60" spans="1:14" ht="20.100000000000001" customHeight="1">
      <c r="A60" s="116" t="s">
        <v>51</v>
      </c>
      <c r="B60" s="26"/>
      <c r="C60" s="26"/>
      <c r="D60" s="27"/>
      <c r="E60" s="26"/>
      <c r="F60" s="26"/>
      <c r="G60" s="26"/>
      <c r="H60" s="28">
        <f t="shared" si="0"/>
        <v>0</v>
      </c>
      <c r="I60" s="35">
        <f t="shared" si="1"/>
        <v>0</v>
      </c>
      <c r="J60" s="26"/>
      <c r="K60" s="26"/>
      <c r="L60" s="26"/>
      <c r="M60" s="32"/>
      <c r="N60" s="32"/>
    </row>
    <row r="61" spans="1:14" ht="20.100000000000001" customHeight="1">
      <c r="A61" s="116"/>
      <c r="B61" s="26"/>
      <c r="C61" s="26"/>
      <c r="D61" s="27"/>
      <c r="E61" s="26"/>
      <c r="F61" s="26"/>
      <c r="G61" s="26"/>
      <c r="H61" s="28">
        <f t="shared" si="0"/>
        <v>0</v>
      </c>
      <c r="I61" s="35">
        <f t="shared" si="1"/>
        <v>0</v>
      </c>
      <c r="J61" s="26"/>
      <c r="K61" s="26"/>
      <c r="L61" s="26"/>
      <c r="M61" s="32"/>
      <c r="N61" s="32"/>
    </row>
    <row r="62" spans="1:14" ht="20.100000000000001" customHeight="1">
      <c r="A62" s="116"/>
      <c r="B62" s="26"/>
      <c r="C62" s="26"/>
      <c r="D62" s="27"/>
      <c r="E62" s="26"/>
      <c r="F62" s="26"/>
      <c r="G62" s="26"/>
      <c r="H62" s="28">
        <f t="shared" si="0"/>
        <v>0</v>
      </c>
      <c r="I62" s="35">
        <f t="shared" si="1"/>
        <v>0</v>
      </c>
      <c r="J62" s="26"/>
      <c r="K62" s="26"/>
      <c r="L62" s="26"/>
      <c r="M62" s="32"/>
      <c r="N62" s="32"/>
    </row>
    <row r="63" spans="1:14" ht="20.100000000000001" customHeight="1">
      <c r="A63" s="116"/>
      <c r="B63" s="26"/>
      <c r="C63" s="26"/>
      <c r="D63" s="27"/>
      <c r="E63" s="26"/>
      <c r="F63" s="26"/>
      <c r="G63" s="26"/>
      <c r="H63" s="28">
        <f t="shared" si="0"/>
        <v>0</v>
      </c>
      <c r="I63" s="35">
        <f t="shared" si="1"/>
        <v>0</v>
      </c>
      <c r="J63" s="26"/>
      <c r="K63" s="26"/>
      <c r="L63" s="26"/>
      <c r="M63" s="32"/>
      <c r="N63" s="32"/>
    </row>
    <row r="64" spans="1:14" ht="20.100000000000001" customHeight="1">
      <c r="A64" s="116"/>
      <c r="B64" s="26"/>
      <c r="C64" s="26"/>
      <c r="D64" s="27"/>
      <c r="E64" s="26"/>
      <c r="F64" s="26"/>
      <c r="G64" s="26"/>
      <c r="H64" s="28">
        <f t="shared" si="0"/>
        <v>0</v>
      </c>
      <c r="I64" s="35">
        <f t="shared" si="1"/>
        <v>0</v>
      </c>
      <c r="J64" s="26"/>
      <c r="K64" s="26"/>
      <c r="L64" s="26"/>
      <c r="M64" s="32"/>
      <c r="N64" s="32"/>
    </row>
    <row r="65" spans="1:14" ht="20.100000000000001" customHeight="1">
      <c r="A65" s="116"/>
      <c r="B65" s="26"/>
      <c r="C65" s="26"/>
      <c r="D65" s="27"/>
      <c r="E65" s="26"/>
      <c r="F65" s="26"/>
      <c r="G65" s="26"/>
      <c r="H65" s="28">
        <f t="shared" si="0"/>
        <v>0</v>
      </c>
      <c r="I65" s="35">
        <f t="shared" si="1"/>
        <v>0</v>
      </c>
      <c r="J65" s="26"/>
      <c r="K65" s="26"/>
      <c r="L65" s="26"/>
      <c r="M65" s="32"/>
      <c r="N65" s="32"/>
    </row>
    <row r="66" spans="1:14" ht="20.100000000000001" customHeight="1">
      <c r="A66" s="116"/>
      <c r="B66" s="26"/>
      <c r="C66" s="26"/>
      <c r="D66" s="27"/>
      <c r="E66" s="26"/>
      <c r="F66" s="26"/>
      <c r="G66" s="26"/>
      <c r="H66" s="28">
        <f t="shared" si="0"/>
        <v>0</v>
      </c>
      <c r="I66" s="35">
        <f t="shared" si="1"/>
        <v>0</v>
      </c>
      <c r="J66" s="26"/>
      <c r="K66" s="26"/>
      <c r="L66" s="26"/>
      <c r="M66" s="32"/>
      <c r="N66" s="32"/>
    </row>
    <row r="67" spans="1:14" ht="20.100000000000001" customHeight="1">
      <c r="A67" s="116"/>
      <c r="B67" s="26"/>
      <c r="C67" s="26"/>
      <c r="D67" s="27"/>
      <c r="E67" s="26"/>
      <c r="F67" s="26"/>
      <c r="G67" s="26"/>
      <c r="H67" s="28">
        <f t="shared" ref="H67:H82" si="2">E67*F67</f>
        <v>0</v>
      </c>
      <c r="I67" s="35">
        <f t="shared" ref="I67:I82" si="3">E67*G67</f>
        <v>0</v>
      </c>
      <c r="J67" s="26"/>
      <c r="K67" s="26"/>
      <c r="L67" s="26"/>
      <c r="M67" s="26"/>
      <c r="N67" s="32"/>
    </row>
    <row r="68" spans="1:14" ht="20.100000000000001" customHeight="1">
      <c r="A68" s="116"/>
      <c r="B68" s="26"/>
      <c r="C68" s="26"/>
      <c r="D68" s="27"/>
      <c r="E68" s="26"/>
      <c r="F68" s="26"/>
      <c r="G68" s="26"/>
      <c r="H68" s="28">
        <f t="shared" si="2"/>
        <v>0</v>
      </c>
      <c r="I68" s="35">
        <f t="shared" si="3"/>
        <v>0</v>
      </c>
      <c r="J68" s="26"/>
      <c r="K68" s="26"/>
      <c r="L68" s="26"/>
      <c r="M68" s="26"/>
      <c r="N68" s="32"/>
    </row>
    <row r="69" spans="1:14" ht="20.100000000000001" customHeight="1">
      <c r="A69" s="116"/>
      <c r="B69" s="26"/>
      <c r="C69" s="26"/>
      <c r="D69" s="27"/>
      <c r="E69" s="32"/>
      <c r="F69" s="26"/>
      <c r="G69" s="26"/>
      <c r="H69" s="28">
        <f t="shared" si="2"/>
        <v>0</v>
      </c>
      <c r="I69" s="35">
        <f t="shared" si="3"/>
        <v>0</v>
      </c>
      <c r="J69" s="26"/>
      <c r="K69" s="26"/>
      <c r="L69" s="26"/>
      <c r="M69" s="32"/>
      <c r="N69" s="32"/>
    </row>
    <row r="70" spans="1:14" ht="20.100000000000001" customHeight="1">
      <c r="A70" s="116"/>
      <c r="B70" s="26"/>
      <c r="C70" s="26"/>
      <c r="D70" s="27"/>
      <c r="E70" s="26"/>
      <c r="F70" s="26"/>
      <c r="G70" s="26"/>
      <c r="H70" s="28">
        <f t="shared" si="2"/>
        <v>0</v>
      </c>
      <c r="I70" s="35">
        <f t="shared" si="3"/>
        <v>0</v>
      </c>
      <c r="J70" s="26"/>
      <c r="K70" s="26"/>
      <c r="L70" s="26"/>
      <c r="M70" s="26"/>
      <c r="N70" s="32"/>
    </row>
    <row r="71" spans="1:14" ht="20.100000000000001" customHeight="1">
      <c r="A71" s="116"/>
      <c r="B71" s="26"/>
      <c r="C71" s="26"/>
      <c r="D71" s="27"/>
      <c r="E71" s="26"/>
      <c r="F71" s="26"/>
      <c r="G71" s="26"/>
      <c r="H71" s="28">
        <f t="shared" si="2"/>
        <v>0</v>
      </c>
      <c r="I71" s="35">
        <f t="shared" si="3"/>
        <v>0</v>
      </c>
      <c r="J71" s="26"/>
      <c r="K71" s="26"/>
      <c r="L71" s="26"/>
      <c r="M71" s="32"/>
      <c r="N71" s="32"/>
    </row>
    <row r="72" spans="1:14" ht="20.100000000000001" customHeight="1">
      <c r="A72" s="116" t="s">
        <v>52</v>
      </c>
      <c r="B72" s="26"/>
      <c r="C72" s="26"/>
      <c r="D72" s="27"/>
      <c r="E72" s="26"/>
      <c r="F72" s="26"/>
      <c r="G72" s="26"/>
      <c r="H72" s="28">
        <f t="shared" si="2"/>
        <v>0</v>
      </c>
      <c r="I72" s="35">
        <f t="shared" si="3"/>
        <v>0</v>
      </c>
      <c r="J72" s="26"/>
      <c r="K72" s="26"/>
      <c r="L72" s="26"/>
      <c r="M72" s="32"/>
      <c r="N72" s="32"/>
    </row>
    <row r="73" spans="1:14" ht="20.100000000000001" customHeight="1">
      <c r="A73" s="116"/>
      <c r="B73" s="26"/>
      <c r="C73" s="26"/>
      <c r="D73" s="27"/>
      <c r="E73" s="26"/>
      <c r="F73" s="26"/>
      <c r="G73" s="26"/>
      <c r="H73" s="28">
        <f t="shared" si="2"/>
        <v>0</v>
      </c>
      <c r="I73" s="35">
        <f t="shared" si="3"/>
        <v>0</v>
      </c>
      <c r="J73" s="26"/>
      <c r="K73" s="26"/>
      <c r="L73" s="26"/>
      <c r="M73" s="32"/>
      <c r="N73" s="32"/>
    </row>
    <row r="74" spans="1:14" ht="20.100000000000001" customHeight="1">
      <c r="A74" s="116"/>
      <c r="B74" s="26"/>
      <c r="C74" s="26"/>
      <c r="D74" s="27"/>
      <c r="E74" s="26"/>
      <c r="F74" s="26"/>
      <c r="G74" s="26"/>
      <c r="H74" s="28">
        <f t="shared" si="2"/>
        <v>0</v>
      </c>
      <c r="I74" s="35">
        <f t="shared" si="3"/>
        <v>0</v>
      </c>
      <c r="J74" s="26"/>
      <c r="K74" s="26"/>
      <c r="L74" s="26"/>
      <c r="M74" s="32"/>
      <c r="N74" s="32"/>
    </row>
    <row r="75" spans="1:14" ht="20.100000000000001" customHeight="1">
      <c r="A75" s="117" t="s">
        <v>53</v>
      </c>
      <c r="B75" s="26"/>
      <c r="C75" s="26"/>
      <c r="D75" s="27"/>
      <c r="E75" s="26"/>
      <c r="F75" s="26"/>
      <c r="G75" s="26"/>
      <c r="H75" s="28">
        <f t="shared" si="2"/>
        <v>0</v>
      </c>
      <c r="I75" s="35">
        <f t="shared" si="3"/>
        <v>0</v>
      </c>
      <c r="J75" s="26"/>
      <c r="K75" s="26"/>
      <c r="L75" s="26"/>
      <c r="M75" s="26"/>
      <c r="N75" s="32"/>
    </row>
    <row r="76" spans="1:14" ht="20.100000000000001" customHeight="1">
      <c r="A76" s="118"/>
      <c r="B76" s="38"/>
      <c r="C76" s="32"/>
      <c r="D76" s="29"/>
      <c r="E76" s="26"/>
      <c r="F76" s="26"/>
      <c r="G76" s="26"/>
      <c r="H76" s="28">
        <f t="shared" si="2"/>
        <v>0</v>
      </c>
      <c r="I76" s="35">
        <f t="shared" si="3"/>
        <v>0</v>
      </c>
      <c r="J76" s="26"/>
      <c r="K76" s="26"/>
      <c r="L76" s="26"/>
      <c r="M76" s="26"/>
      <c r="N76" s="32"/>
    </row>
    <row r="77" spans="1:14" ht="20.100000000000001" customHeight="1">
      <c r="A77" s="118"/>
      <c r="B77" s="38"/>
      <c r="C77" s="32"/>
      <c r="D77" s="29"/>
      <c r="E77" s="26"/>
      <c r="F77" s="26"/>
      <c r="G77" s="26"/>
      <c r="H77" s="28">
        <f t="shared" si="2"/>
        <v>0</v>
      </c>
      <c r="I77" s="35">
        <f t="shared" si="3"/>
        <v>0</v>
      </c>
      <c r="J77" s="26"/>
      <c r="K77" s="26"/>
      <c r="L77" s="26"/>
      <c r="M77" s="26"/>
      <c r="N77" s="32"/>
    </row>
    <row r="78" spans="1:14" ht="20.100000000000001" customHeight="1">
      <c r="A78" s="118"/>
      <c r="B78" s="38"/>
      <c r="C78" s="32"/>
      <c r="D78" s="29"/>
      <c r="E78" s="26"/>
      <c r="F78" s="26"/>
      <c r="G78" s="26"/>
      <c r="H78" s="28">
        <f t="shared" si="2"/>
        <v>0</v>
      </c>
      <c r="I78" s="35">
        <f t="shared" si="3"/>
        <v>0</v>
      </c>
      <c r="J78" s="26"/>
      <c r="K78" s="26"/>
      <c r="L78" s="26"/>
      <c r="M78" s="26"/>
      <c r="N78" s="32"/>
    </row>
    <row r="79" spans="1:14" ht="20.100000000000001" customHeight="1">
      <c r="A79" s="118"/>
      <c r="B79" s="38"/>
      <c r="C79" s="32"/>
      <c r="D79" s="29"/>
      <c r="E79" s="26"/>
      <c r="F79" s="26"/>
      <c r="G79" s="26"/>
      <c r="H79" s="28">
        <f t="shared" si="2"/>
        <v>0</v>
      </c>
      <c r="I79" s="35">
        <f t="shared" si="3"/>
        <v>0</v>
      </c>
      <c r="J79" s="26"/>
      <c r="K79" s="26"/>
      <c r="L79" s="26"/>
      <c r="M79" s="26"/>
      <c r="N79" s="32"/>
    </row>
    <row r="80" spans="1:14" ht="20.100000000000001" customHeight="1">
      <c r="A80" s="118"/>
      <c r="B80" s="38"/>
      <c r="C80" s="32"/>
      <c r="D80" s="29"/>
      <c r="E80" s="26"/>
      <c r="F80" s="26"/>
      <c r="G80" s="26"/>
      <c r="H80" s="28">
        <f t="shared" si="2"/>
        <v>0</v>
      </c>
      <c r="I80" s="35">
        <f t="shared" si="3"/>
        <v>0</v>
      </c>
      <c r="J80" s="26"/>
      <c r="K80" s="26"/>
      <c r="L80" s="26"/>
      <c r="M80" s="26"/>
      <c r="N80" s="32"/>
    </row>
    <row r="81" spans="1:14" ht="20.100000000000001" customHeight="1">
      <c r="A81" s="118"/>
      <c r="B81" s="38"/>
      <c r="C81" s="32"/>
      <c r="D81" s="29"/>
      <c r="E81" s="26"/>
      <c r="F81" s="26"/>
      <c r="G81" s="26"/>
      <c r="H81" s="28">
        <f t="shared" si="2"/>
        <v>0</v>
      </c>
      <c r="I81" s="35">
        <f t="shared" si="3"/>
        <v>0</v>
      </c>
      <c r="J81" s="26"/>
      <c r="K81" s="26"/>
      <c r="L81" s="26"/>
      <c r="M81" s="32"/>
      <c r="N81" s="32"/>
    </row>
    <row r="82" spans="1:14" ht="20.100000000000001" customHeight="1">
      <c r="A82" s="118"/>
      <c r="B82" s="26"/>
      <c r="C82" s="26"/>
      <c r="D82" s="27"/>
      <c r="E82" s="26"/>
      <c r="F82" s="26"/>
      <c r="G82" s="26"/>
      <c r="H82" s="28">
        <f t="shared" si="2"/>
        <v>0</v>
      </c>
      <c r="I82" s="35">
        <f t="shared" si="3"/>
        <v>0</v>
      </c>
      <c r="J82" s="26"/>
      <c r="K82" s="26"/>
      <c r="L82" s="26"/>
      <c r="M82" s="26"/>
      <c r="N82" s="32"/>
    </row>
    <row r="83" spans="1:14" ht="20.100000000000001" customHeight="1">
      <c r="A83" s="118"/>
      <c r="B83" s="39"/>
      <c r="C83" s="26"/>
      <c r="D83" s="27"/>
      <c r="E83" s="26"/>
      <c r="F83" s="26"/>
      <c r="G83" s="26"/>
      <c r="H83" s="28">
        <v>16</v>
      </c>
      <c r="I83" s="35">
        <v>32</v>
      </c>
      <c r="J83" s="26"/>
      <c r="K83" s="26"/>
      <c r="L83" s="26"/>
      <c r="M83" s="26"/>
      <c r="N83" s="32"/>
    </row>
    <row r="84" spans="1:14" ht="20.100000000000001" customHeight="1">
      <c r="A84" s="118"/>
      <c r="B84" s="26"/>
      <c r="C84" s="26"/>
      <c r="D84" s="27"/>
      <c r="E84" s="26"/>
      <c r="F84" s="26"/>
      <c r="G84" s="26"/>
      <c r="H84" s="28">
        <f t="shared" ref="H84:H104" si="4">E84*F84</f>
        <v>0</v>
      </c>
      <c r="I84" s="35">
        <f t="shared" ref="I84:I104" si="5">E84*G84</f>
        <v>0</v>
      </c>
      <c r="J84" s="26"/>
      <c r="K84" s="26"/>
      <c r="L84" s="26"/>
      <c r="M84" s="26"/>
      <c r="N84" s="32"/>
    </row>
    <row r="85" spans="1:14" ht="20.100000000000001" customHeight="1">
      <c r="A85" s="118"/>
      <c r="B85" s="26"/>
      <c r="C85" s="26"/>
      <c r="D85" s="27"/>
      <c r="E85" s="26"/>
      <c r="F85" s="26"/>
      <c r="G85" s="26"/>
      <c r="H85" s="28">
        <f t="shared" si="4"/>
        <v>0</v>
      </c>
      <c r="I85" s="35">
        <f t="shared" si="5"/>
        <v>0</v>
      </c>
      <c r="J85" s="26"/>
      <c r="K85" s="26"/>
      <c r="L85" s="26"/>
      <c r="M85" s="26"/>
      <c r="N85" s="32"/>
    </row>
    <row r="86" spans="1:14" ht="20.100000000000001" customHeight="1">
      <c r="A86" s="118"/>
      <c r="B86" s="26"/>
      <c r="C86" s="26"/>
      <c r="D86" s="27"/>
      <c r="E86" s="26"/>
      <c r="F86" s="26"/>
      <c r="G86" s="26"/>
      <c r="H86" s="28">
        <f t="shared" si="4"/>
        <v>0</v>
      </c>
      <c r="I86" s="35">
        <f t="shared" si="5"/>
        <v>0</v>
      </c>
      <c r="J86" s="26"/>
      <c r="K86" s="26"/>
      <c r="L86" s="26"/>
      <c r="M86" s="32"/>
      <c r="N86" s="32"/>
    </row>
    <row r="87" spans="1:14" ht="20.100000000000001" customHeight="1">
      <c r="A87" s="118"/>
      <c r="B87" s="26"/>
      <c r="C87" s="26"/>
      <c r="D87" s="27"/>
      <c r="E87" s="26"/>
      <c r="F87" s="26"/>
      <c r="G87" s="26"/>
      <c r="H87" s="28">
        <f t="shared" si="4"/>
        <v>0</v>
      </c>
      <c r="I87" s="35">
        <f t="shared" si="5"/>
        <v>0</v>
      </c>
      <c r="J87" s="26"/>
      <c r="K87" s="26"/>
      <c r="L87" s="26"/>
      <c r="M87" s="32"/>
      <c r="N87" s="32"/>
    </row>
    <row r="88" spans="1:14" ht="20.100000000000001" customHeight="1">
      <c r="A88" s="118"/>
      <c r="B88" s="26"/>
      <c r="C88" s="26"/>
      <c r="D88" s="27"/>
      <c r="E88" s="26"/>
      <c r="F88" s="26"/>
      <c r="G88" s="26"/>
      <c r="H88" s="28">
        <f t="shared" si="4"/>
        <v>0</v>
      </c>
      <c r="I88" s="35">
        <f t="shared" si="5"/>
        <v>0</v>
      </c>
      <c r="J88" s="26"/>
      <c r="K88" s="26"/>
      <c r="L88" s="26"/>
      <c r="M88" s="32"/>
      <c r="N88" s="32"/>
    </row>
    <row r="89" spans="1:14" ht="20.100000000000001" customHeight="1">
      <c r="A89" s="119"/>
      <c r="B89" s="26"/>
      <c r="C89" s="26"/>
      <c r="D89" s="27"/>
      <c r="E89" s="26"/>
      <c r="F89" s="26"/>
      <c r="G89" s="26"/>
      <c r="H89" s="28">
        <f t="shared" si="4"/>
        <v>0</v>
      </c>
      <c r="I89" s="35">
        <f t="shared" si="5"/>
        <v>0</v>
      </c>
      <c r="J89" s="26"/>
      <c r="K89" s="26"/>
      <c r="L89" s="26"/>
      <c r="M89" s="32"/>
      <c r="N89" s="32"/>
    </row>
    <row r="90" spans="1:14" ht="20.100000000000001" customHeight="1">
      <c r="A90" s="116" t="s">
        <v>54</v>
      </c>
      <c r="B90" s="26"/>
      <c r="C90" s="26"/>
      <c r="D90" s="27"/>
      <c r="E90" s="26"/>
      <c r="F90" s="26"/>
      <c r="G90" s="26"/>
      <c r="H90" s="28">
        <f t="shared" si="4"/>
        <v>0</v>
      </c>
      <c r="I90" s="35">
        <f t="shared" si="5"/>
        <v>0</v>
      </c>
      <c r="J90" s="26"/>
      <c r="K90" s="26"/>
      <c r="L90" s="26"/>
      <c r="M90" s="32"/>
      <c r="N90" s="32"/>
    </row>
    <row r="91" spans="1:14" ht="20.100000000000001" customHeight="1">
      <c r="A91" s="120"/>
      <c r="B91" s="26"/>
      <c r="C91" s="26"/>
      <c r="D91" s="27"/>
      <c r="E91" s="26"/>
      <c r="F91" s="26"/>
      <c r="G91" s="26"/>
      <c r="H91" s="28">
        <f t="shared" si="4"/>
        <v>0</v>
      </c>
      <c r="I91" s="35">
        <f t="shared" si="5"/>
        <v>0</v>
      </c>
      <c r="J91" s="26"/>
      <c r="K91" s="26"/>
      <c r="L91" s="26"/>
      <c r="M91" s="32"/>
      <c r="N91" s="32"/>
    </row>
    <row r="92" spans="1:14" ht="20.100000000000001" customHeight="1">
      <c r="A92" s="120"/>
      <c r="B92" s="26"/>
      <c r="C92" s="26"/>
      <c r="D92" s="27"/>
      <c r="E92" s="31"/>
      <c r="F92" s="26"/>
      <c r="G92" s="26"/>
      <c r="H92" s="28">
        <f t="shared" si="4"/>
        <v>0</v>
      </c>
      <c r="I92" s="35">
        <f t="shared" si="5"/>
        <v>0</v>
      </c>
      <c r="J92" s="26"/>
      <c r="K92" s="26"/>
      <c r="L92" s="26"/>
      <c r="M92" s="26"/>
      <c r="N92" s="32"/>
    </row>
    <row r="93" spans="1:14" ht="20.100000000000001" customHeight="1">
      <c r="A93" s="120"/>
      <c r="B93" s="26"/>
      <c r="C93" s="26"/>
      <c r="D93" s="27"/>
      <c r="E93" s="26"/>
      <c r="F93" s="26"/>
      <c r="G93" s="26"/>
      <c r="H93" s="28">
        <f t="shared" si="4"/>
        <v>0</v>
      </c>
      <c r="I93" s="35">
        <f t="shared" si="5"/>
        <v>0</v>
      </c>
      <c r="J93" s="26"/>
      <c r="K93" s="26"/>
      <c r="L93" s="26"/>
      <c r="M93" s="26"/>
      <c r="N93" s="32"/>
    </row>
    <row r="94" spans="1:14" ht="20.100000000000001" customHeight="1">
      <c r="A94" s="116" t="s">
        <v>55</v>
      </c>
      <c r="B94" s="26"/>
      <c r="C94" s="26"/>
      <c r="D94" s="27"/>
      <c r="E94" s="26"/>
      <c r="F94" s="26"/>
      <c r="G94" s="26"/>
      <c r="H94" s="28">
        <f t="shared" si="4"/>
        <v>0</v>
      </c>
      <c r="I94" s="35">
        <f t="shared" si="5"/>
        <v>0</v>
      </c>
      <c r="J94" s="26"/>
      <c r="K94" s="26"/>
      <c r="L94" s="26"/>
      <c r="M94" s="32"/>
      <c r="N94" s="32"/>
    </row>
    <row r="95" spans="1:14" ht="20.100000000000001" customHeight="1">
      <c r="A95" s="112"/>
      <c r="B95" s="26"/>
      <c r="C95" s="26"/>
      <c r="D95" s="29"/>
      <c r="E95" s="26"/>
      <c r="F95" s="26"/>
      <c r="G95" s="26"/>
      <c r="H95" s="28">
        <f t="shared" si="4"/>
        <v>0</v>
      </c>
      <c r="I95" s="35">
        <f t="shared" si="5"/>
        <v>0</v>
      </c>
      <c r="J95" s="26"/>
      <c r="K95" s="26"/>
      <c r="L95" s="26"/>
      <c r="M95" s="32"/>
      <c r="N95" s="32"/>
    </row>
    <row r="96" spans="1:14" ht="20.100000000000001" customHeight="1">
      <c r="A96" s="112"/>
      <c r="B96" s="26"/>
      <c r="C96" s="26"/>
      <c r="D96" s="27"/>
      <c r="E96" s="26"/>
      <c r="F96" s="26"/>
      <c r="G96" s="26"/>
      <c r="H96" s="28">
        <f t="shared" si="4"/>
        <v>0</v>
      </c>
      <c r="I96" s="35">
        <f t="shared" si="5"/>
        <v>0</v>
      </c>
      <c r="J96" s="26"/>
      <c r="K96" s="26"/>
      <c r="L96" s="26"/>
      <c r="M96" s="32"/>
      <c r="N96" s="32"/>
    </row>
    <row r="97" spans="1:14" ht="20.100000000000001" customHeight="1">
      <c r="A97" s="121" t="s">
        <v>56</v>
      </c>
      <c r="B97" s="26"/>
      <c r="C97" s="26"/>
      <c r="D97" s="27"/>
      <c r="E97" s="26"/>
      <c r="F97" s="26"/>
      <c r="G97" s="26"/>
      <c r="H97" s="28">
        <f t="shared" si="4"/>
        <v>0</v>
      </c>
      <c r="I97" s="35">
        <f t="shared" si="5"/>
        <v>0</v>
      </c>
      <c r="J97" s="26"/>
      <c r="K97" s="26"/>
      <c r="L97" s="26"/>
      <c r="M97" s="32"/>
      <c r="N97" s="32"/>
    </row>
    <row r="98" spans="1:14" ht="20.100000000000001" customHeight="1">
      <c r="A98" s="122"/>
      <c r="B98" s="26"/>
      <c r="C98" s="26"/>
      <c r="D98" s="27"/>
      <c r="E98" s="26"/>
      <c r="F98" s="26"/>
      <c r="G98" s="26"/>
      <c r="H98" s="28">
        <f t="shared" si="4"/>
        <v>0</v>
      </c>
      <c r="I98" s="35">
        <f t="shared" si="5"/>
        <v>0</v>
      </c>
      <c r="J98" s="26"/>
      <c r="K98" s="26"/>
      <c r="L98" s="26"/>
      <c r="M98" s="32"/>
      <c r="N98" s="32"/>
    </row>
    <row r="99" spans="1:14" ht="20.100000000000001" customHeight="1">
      <c r="A99" s="122"/>
      <c r="B99" s="26"/>
      <c r="C99" s="26"/>
      <c r="D99" s="27"/>
      <c r="E99" s="26"/>
      <c r="F99" s="26"/>
      <c r="G99" s="26"/>
      <c r="H99" s="28">
        <f t="shared" si="4"/>
        <v>0</v>
      </c>
      <c r="I99" s="35">
        <f t="shared" si="5"/>
        <v>0</v>
      </c>
      <c r="J99" s="26"/>
      <c r="K99" s="26"/>
      <c r="L99" s="26"/>
      <c r="M99" s="32"/>
      <c r="N99" s="32"/>
    </row>
    <row r="100" spans="1:14" ht="20.100000000000001" customHeight="1">
      <c r="A100" s="122"/>
      <c r="B100" s="26"/>
      <c r="C100" s="26"/>
      <c r="D100" s="27"/>
      <c r="E100" s="26"/>
      <c r="F100" s="26"/>
      <c r="G100" s="26"/>
      <c r="H100" s="28">
        <f t="shared" si="4"/>
        <v>0</v>
      </c>
      <c r="I100" s="35">
        <f t="shared" si="5"/>
        <v>0</v>
      </c>
      <c r="J100" s="26"/>
      <c r="K100" s="26"/>
      <c r="L100" s="26"/>
      <c r="M100" s="32"/>
      <c r="N100" s="32"/>
    </row>
    <row r="101" spans="1:14" ht="20.100000000000001" customHeight="1">
      <c r="A101" s="122"/>
      <c r="B101" s="26"/>
      <c r="C101" s="26"/>
      <c r="D101" s="27"/>
      <c r="E101" s="26"/>
      <c r="F101" s="26"/>
      <c r="G101" s="26"/>
      <c r="H101" s="28">
        <f t="shared" si="4"/>
        <v>0</v>
      </c>
      <c r="I101" s="35">
        <f t="shared" si="5"/>
        <v>0</v>
      </c>
      <c r="J101" s="26"/>
      <c r="K101" s="26"/>
      <c r="L101" s="26"/>
      <c r="M101" s="26"/>
      <c r="N101" s="32"/>
    </row>
    <row r="102" spans="1:14" ht="20.100000000000001" customHeight="1">
      <c r="A102" s="122"/>
      <c r="B102" s="26"/>
      <c r="C102" s="26"/>
      <c r="D102" s="27"/>
      <c r="E102" s="26"/>
      <c r="F102" s="26"/>
      <c r="G102" s="26"/>
      <c r="H102" s="28">
        <f t="shared" si="4"/>
        <v>0</v>
      </c>
      <c r="I102" s="35">
        <f t="shared" si="5"/>
        <v>0</v>
      </c>
      <c r="J102" s="26"/>
      <c r="K102" s="26"/>
      <c r="L102" s="26"/>
      <c r="M102" s="26"/>
      <c r="N102" s="32"/>
    </row>
    <row r="103" spans="1:14" ht="20.100000000000001" customHeight="1">
      <c r="A103" s="123"/>
      <c r="B103" s="40"/>
      <c r="C103" s="32"/>
      <c r="D103" s="29"/>
      <c r="E103" s="32"/>
      <c r="F103" s="26"/>
      <c r="G103" s="26"/>
      <c r="H103" s="28">
        <f t="shared" si="4"/>
        <v>0</v>
      </c>
      <c r="I103" s="35">
        <f t="shared" si="5"/>
        <v>0</v>
      </c>
      <c r="J103" s="26"/>
      <c r="K103" s="26"/>
      <c r="L103" s="26"/>
      <c r="M103" s="26"/>
      <c r="N103" s="32"/>
    </row>
    <row r="104" spans="1:14" ht="20.100000000000001" customHeight="1">
      <c r="A104" s="116" t="s">
        <v>57</v>
      </c>
      <c r="B104" s="26"/>
      <c r="C104" s="26"/>
      <c r="D104" s="27"/>
      <c r="E104" s="26"/>
      <c r="F104" s="26"/>
      <c r="G104" s="26"/>
      <c r="H104" s="28">
        <f t="shared" si="4"/>
        <v>0</v>
      </c>
      <c r="I104" s="35">
        <f t="shared" si="5"/>
        <v>0</v>
      </c>
      <c r="J104" s="26"/>
      <c r="K104" s="26"/>
      <c r="L104" s="26"/>
      <c r="M104" s="32"/>
      <c r="N104" s="32"/>
    </row>
    <row r="105" spans="1:14" ht="20.100000000000001" customHeight="1">
      <c r="A105" s="116"/>
      <c r="B105" s="39"/>
      <c r="C105" s="26"/>
      <c r="D105" s="27"/>
      <c r="E105" s="26"/>
      <c r="F105" s="26"/>
      <c r="G105" s="26"/>
      <c r="H105" s="28">
        <v>15</v>
      </c>
      <c r="I105" s="35">
        <v>30</v>
      </c>
      <c r="J105" s="26"/>
      <c r="K105" s="26"/>
      <c r="L105" s="26"/>
      <c r="M105" s="32"/>
      <c r="N105" s="32"/>
    </row>
    <row r="106" spans="1:14" ht="20.100000000000001" customHeight="1">
      <c r="A106" s="112"/>
      <c r="B106" s="26"/>
      <c r="C106" s="32"/>
      <c r="D106" s="27"/>
      <c r="E106" s="26"/>
      <c r="F106" s="26"/>
      <c r="G106" s="26"/>
      <c r="H106" s="28">
        <f t="shared" ref="H106:H108" si="6">E106*F106</f>
        <v>0</v>
      </c>
      <c r="I106" s="35">
        <f t="shared" ref="I106:I108" si="7">E106*G106</f>
        <v>0</v>
      </c>
      <c r="J106" s="26"/>
      <c r="K106" s="26"/>
      <c r="L106" s="26"/>
      <c r="M106" s="32"/>
      <c r="N106" s="32"/>
    </row>
    <row r="107" spans="1:14" ht="20.100000000000001" customHeight="1">
      <c r="A107" s="112"/>
      <c r="B107" s="26"/>
      <c r="C107" s="26"/>
      <c r="D107" s="27"/>
      <c r="E107" s="26"/>
      <c r="F107" s="26"/>
      <c r="G107" s="26"/>
      <c r="H107" s="28">
        <f t="shared" si="6"/>
        <v>0</v>
      </c>
      <c r="I107" s="35">
        <f t="shared" si="7"/>
        <v>0</v>
      </c>
      <c r="J107" s="26"/>
      <c r="K107" s="26"/>
      <c r="L107" s="26"/>
      <c r="M107" s="32"/>
      <c r="N107" s="32"/>
    </row>
    <row r="108" spans="1:14" ht="20.100000000000001" customHeight="1">
      <c r="A108" s="112"/>
      <c r="B108" s="26"/>
      <c r="C108" s="26"/>
      <c r="D108" s="27"/>
      <c r="E108" s="26"/>
      <c r="F108" s="26"/>
      <c r="G108" s="26"/>
      <c r="H108" s="28">
        <f t="shared" si="6"/>
        <v>0</v>
      </c>
      <c r="I108" s="35">
        <f t="shared" si="7"/>
        <v>0</v>
      </c>
      <c r="J108" s="26"/>
      <c r="K108" s="26"/>
      <c r="L108" s="26"/>
      <c r="M108" s="32"/>
      <c r="N108" s="32"/>
    </row>
    <row r="109" spans="1:14" ht="20.100000000000001" customHeight="1">
      <c r="A109" s="112"/>
      <c r="B109" s="26"/>
      <c r="C109" s="32"/>
      <c r="D109" s="27"/>
      <c r="E109" s="26"/>
      <c r="F109" s="26"/>
      <c r="G109" s="26"/>
      <c r="H109" s="28"/>
      <c r="I109" s="35"/>
      <c r="J109" s="26"/>
      <c r="K109" s="26"/>
      <c r="L109" s="26"/>
      <c r="M109" s="32"/>
      <c r="N109" s="32"/>
    </row>
    <row r="110" spans="1:14" ht="20.100000000000001" customHeight="1">
      <c r="A110" s="112"/>
      <c r="B110" s="26"/>
      <c r="C110" s="26"/>
      <c r="D110" s="27"/>
      <c r="E110" s="26"/>
      <c r="F110" s="26"/>
      <c r="G110" s="26"/>
      <c r="H110" s="28">
        <f t="shared" ref="H110:H152" si="8">E110*F110</f>
        <v>0</v>
      </c>
      <c r="I110" s="35">
        <f t="shared" ref="I110:I152" si="9">E110*G110</f>
        <v>0</v>
      </c>
      <c r="J110" s="26"/>
      <c r="K110" s="26"/>
      <c r="L110" s="26"/>
      <c r="M110" s="32"/>
      <c r="N110" s="32"/>
    </row>
    <row r="111" spans="1:14" ht="20.100000000000001" customHeight="1">
      <c r="A111" s="115" t="s">
        <v>58</v>
      </c>
      <c r="B111" s="26"/>
      <c r="C111" s="26"/>
      <c r="D111" s="27"/>
      <c r="E111" s="26"/>
      <c r="F111" s="26"/>
      <c r="G111" s="26"/>
      <c r="H111" s="28">
        <f t="shared" si="8"/>
        <v>0</v>
      </c>
      <c r="I111" s="35">
        <f t="shared" si="9"/>
        <v>0</v>
      </c>
      <c r="J111" s="26"/>
      <c r="K111" s="26"/>
      <c r="L111" s="26"/>
      <c r="M111" s="32"/>
      <c r="N111" s="32"/>
    </row>
    <row r="112" spans="1:14" ht="20.100000000000001" customHeight="1">
      <c r="A112" s="116"/>
      <c r="B112" s="26"/>
      <c r="C112" s="26"/>
      <c r="D112" s="27"/>
      <c r="E112" s="26"/>
      <c r="F112" s="26"/>
      <c r="G112" s="26"/>
      <c r="H112" s="28">
        <f t="shared" si="8"/>
        <v>0</v>
      </c>
      <c r="I112" s="35">
        <f t="shared" si="9"/>
        <v>0</v>
      </c>
      <c r="J112" s="26"/>
      <c r="K112" s="26"/>
      <c r="L112" s="26"/>
      <c r="M112" s="26"/>
      <c r="N112" s="32"/>
    </row>
    <row r="113" spans="1:14" ht="20.100000000000001" customHeight="1">
      <c r="A113" s="116"/>
      <c r="B113" s="26"/>
      <c r="C113" s="26"/>
      <c r="D113" s="27"/>
      <c r="E113" s="26"/>
      <c r="F113" s="26"/>
      <c r="G113" s="26"/>
      <c r="H113" s="28">
        <f t="shared" si="8"/>
        <v>0</v>
      </c>
      <c r="I113" s="35">
        <f t="shared" si="9"/>
        <v>0</v>
      </c>
      <c r="J113" s="26"/>
      <c r="K113" s="26"/>
      <c r="L113" s="26"/>
      <c r="M113" s="32"/>
      <c r="N113" s="32"/>
    </row>
    <row r="114" spans="1:14" ht="20.100000000000001" customHeight="1">
      <c r="A114" s="116"/>
      <c r="B114" s="26"/>
      <c r="C114" s="26"/>
      <c r="D114" s="27"/>
      <c r="E114" s="26"/>
      <c r="F114" s="26"/>
      <c r="G114" s="26"/>
      <c r="H114" s="28">
        <f t="shared" si="8"/>
        <v>0</v>
      </c>
      <c r="I114" s="35">
        <f t="shared" si="9"/>
        <v>0</v>
      </c>
      <c r="J114" s="26"/>
      <c r="K114" s="26"/>
      <c r="L114" s="26"/>
      <c r="M114" s="26"/>
      <c r="N114" s="32"/>
    </row>
    <row r="115" spans="1:14" ht="20.100000000000001" customHeight="1">
      <c r="A115" s="116"/>
      <c r="B115" s="26"/>
      <c r="C115" s="26"/>
      <c r="D115" s="27"/>
      <c r="E115" s="26"/>
      <c r="F115" s="26"/>
      <c r="G115" s="26"/>
      <c r="H115" s="28">
        <f t="shared" si="8"/>
        <v>0</v>
      </c>
      <c r="I115" s="35">
        <f t="shared" si="9"/>
        <v>0</v>
      </c>
      <c r="J115" s="26"/>
      <c r="K115" s="26"/>
      <c r="L115" s="26"/>
      <c r="M115" s="26"/>
      <c r="N115" s="32"/>
    </row>
    <row r="116" spans="1:14" ht="20.100000000000001" customHeight="1">
      <c r="A116" s="116"/>
      <c r="B116" s="26"/>
      <c r="C116" s="26"/>
      <c r="D116" s="27"/>
      <c r="E116" s="26"/>
      <c r="F116" s="26"/>
      <c r="G116" s="26"/>
      <c r="H116" s="28">
        <f t="shared" si="8"/>
        <v>0</v>
      </c>
      <c r="I116" s="35">
        <f t="shared" si="9"/>
        <v>0</v>
      </c>
      <c r="J116" s="26"/>
      <c r="K116" s="26"/>
      <c r="L116" s="26"/>
      <c r="M116" s="32"/>
      <c r="N116" s="32"/>
    </row>
    <row r="117" spans="1:14" ht="20.100000000000001" customHeight="1">
      <c r="A117" s="116"/>
      <c r="B117" s="26"/>
      <c r="C117" s="26"/>
      <c r="D117" s="27"/>
      <c r="E117" s="26"/>
      <c r="F117" s="26"/>
      <c r="G117" s="26"/>
      <c r="H117" s="28">
        <f t="shared" si="8"/>
        <v>0</v>
      </c>
      <c r="I117" s="35">
        <f t="shared" si="9"/>
        <v>0</v>
      </c>
      <c r="J117" s="26"/>
      <c r="K117" s="26"/>
      <c r="L117" s="26"/>
      <c r="M117" s="32"/>
      <c r="N117" s="32"/>
    </row>
    <row r="118" spans="1:14" ht="20.100000000000001" customHeight="1">
      <c r="A118" s="116"/>
      <c r="B118" s="26"/>
      <c r="C118" s="26"/>
      <c r="D118" s="27"/>
      <c r="E118" s="26"/>
      <c r="F118" s="26"/>
      <c r="G118" s="26"/>
      <c r="H118" s="28">
        <f t="shared" si="8"/>
        <v>0</v>
      </c>
      <c r="I118" s="35">
        <f t="shared" si="9"/>
        <v>0</v>
      </c>
      <c r="J118" s="26"/>
      <c r="K118" s="26"/>
      <c r="L118" s="26"/>
      <c r="M118" s="32"/>
      <c r="N118" s="32"/>
    </row>
    <row r="119" spans="1:14" ht="20.100000000000001" customHeight="1">
      <c r="A119" s="116"/>
      <c r="B119" s="26"/>
      <c r="C119" s="26"/>
      <c r="D119" s="27"/>
      <c r="E119" s="26"/>
      <c r="F119" s="26"/>
      <c r="G119" s="26"/>
      <c r="H119" s="28">
        <f t="shared" si="8"/>
        <v>0</v>
      </c>
      <c r="I119" s="35">
        <f t="shared" si="9"/>
        <v>0</v>
      </c>
      <c r="J119" s="26"/>
      <c r="K119" s="26"/>
      <c r="L119" s="26"/>
      <c r="M119" s="26"/>
      <c r="N119" s="32"/>
    </row>
    <row r="120" spans="1:14" ht="20.100000000000001" customHeight="1">
      <c r="A120" s="117" t="s">
        <v>59</v>
      </c>
      <c r="B120" s="26"/>
      <c r="C120" s="26"/>
      <c r="D120" s="27"/>
      <c r="E120" s="26"/>
      <c r="F120" s="26"/>
      <c r="G120" s="26"/>
      <c r="H120" s="28">
        <f t="shared" si="8"/>
        <v>0</v>
      </c>
      <c r="I120" s="35">
        <f t="shared" si="9"/>
        <v>0</v>
      </c>
      <c r="J120" s="26"/>
      <c r="K120" s="26"/>
      <c r="L120" s="26"/>
      <c r="M120" s="32"/>
      <c r="N120" s="32"/>
    </row>
    <row r="121" spans="1:14" ht="20.100000000000001" customHeight="1">
      <c r="A121" s="118"/>
      <c r="B121" s="26"/>
      <c r="C121" s="26"/>
      <c r="D121" s="27"/>
      <c r="E121" s="26"/>
      <c r="F121" s="26"/>
      <c r="G121" s="26"/>
      <c r="H121" s="28">
        <f t="shared" si="8"/>
        <v>0</v>
      </c>
      <c r="I121" s="35">
        <f t="shared" si="9"/>
        <v>0</v>
      </c>
      <c r="J121" s="26"/>
      <c r="K121" s="26"/>
      <c r="L121" s="26"/>
      <c r="M121" s="26"/>
      <c r="N121" s="32"/>
    </row>
    <row r="122" spans="1:14" ht="20.100000000000001" customHeight="1">
      <c r="A122" s="118"/>
      <c r="B122" s="26"/>
      <c r="C122" s="26"/>
      <c r="D122" s="27"/>
      <c r="E122" s="26"/>
      <c r="F122" s="26"/>
      <c r="G122" s="26"/>
      <c r="H122" s="28">
        <f t="shared" si="8"/>
        <v>0</v>
      </c>
      <c r="I122" s="35">
        <f t="shared" si="9"/>
        <v>0</v>
      </c>
      <c r="J122" s="26"/>
      <c r="K122" s="26"/>
      <c r="L122" s="26"/>
      <c r="M122" s="26"/>
      <c r="N122" s="32"/>
    </row>
    <row r="123" spans="1:14" ht="20.100000000000001" customHeight="1">
      <c r="A123" s="118"/>
      <c r="B123" s="26"/>
      <c r="C123" s="26"/>
      <c r="D123" s="27"/>
      <c r="E123" s="26"/>
      <c r="F123" s="26"/>
      <c r="G123" s="26"/>
      <c r="H123" s="28">
        <f t="shared" si="8"/>
        <v>0</v>
      </c>
      <c r="I123" s="35">
        <f t="shared" si="9"/>
        <v>0</v>
      </c>
      <c r="J123" s="26"/>
      <c r="K123" s="26"/>
      <c r="L123" s="26"/>
      <c r="M123" s="26"/>
      <c r="N123" s="32"/>
    </row>
    <row r="124" spans="1:14" ht="20.100000000000001" customHeight="1">
      <c r="A124" s="118"/>
      <c r="B124" s="26"/>
      <c r="C124" s="26"/>
      <c r="D124" s="27"/>
      <c r="E124" s="26"/>
      <c r="F124" s="26"/>
      <c r="G124" s="26"/>
      <c r="H124" s="28">
        <f t="shared" si="8"/>
        <v>0</v>
      </c>
      <c r="I124" s="35">
        <f t="shared" si="9"/>
        <v>0</v>
      </c>
      <c r="J124" s="26"/>
      <c r="K124" s="26"/>
      <c r="L124" s="36"/>
      <c r="M124" s="32"/>
      <c r="N124" s="32"/>
    </row>
    <row r="125" spans="1:14" ht="20.100000000000001" customHeight="1">
      <c r="A125" s="118"/>
      <c r="B125" s="26"/>
      <c r="C125" s="26"/>
      <c r="D125" s="27"/>
      <c r="E125" s="26"/>
      <c r="F125" s="26"/>
      <c r="G125" s="26"/>
      <c r="H125" s="28">
        <f t="shared" si="8"/>
        <v>0</v>
      </c>
      <c r="I125" s="35">
        <f t="shared" si="9"/>
        <v>0</v>
      </c>
      <c r="J125" s="26"/>
      <c r="K125" s="26"/>
      <c r="L125" s="26"/>
      <c r="M125" s="32"/>
      <c r="N125" s="32"/>
    </row>
    <row r="126" spans="1:14" ht="20.100000000000001" customHeight="1">
      <c r="A126" s="118"/>
      <c r="B126" s="26"/>
      <c r="C126" s="26"/>
      <c r="D126" s="27"/>
      <c r="E126" s="26"/>
      <c r="F126" s="26"/>
      <c r="G126" s="26"/>
      <c r="H126" s="28">
        <f t="shared" si="8"/>
        <v>0</v>
      </c>
      <c r="I126" s="35">
        <f t="shared" si="9"/>
        <v>0</v>
      </c>
      <c r="J126" s="26"/>
      <c r="K126" s="26"/>
      <c r="L126" s="26"/>
      <c r="M126" s="26"/>
      <c r="N126" s="32"/>
    </row>
    <row r="127" spans="1:14" ht="20.100000000000001" customHeight="1">
      <c r="A127" s="118"/>
      <c r="B127" s="26"/>
      <c r="C127" s="26"/>
      <c r="D127" s="27"/>
      <c r="E127" s="26"/>
      <c r="F127" s="26"/>
      <c r="G127" s="26"/>
      <c r="H127" s="28">
        <f t="shared" si="8"/>
        <v>0</v>
      </c>
      <c r="I127" s="35">
        <f t="shared" si="9"/>
        <v>0</v>
      </c>
      <c r="J127" s="26"/>
      <c r="K127" s="26"/>
      <c r="L127" s="26"/>
      <c r="M127" s="26"/>
      <c r="N127" s="32"/>
    </row>
    <row r="128" spans="1:14" ht="20.100000000000001" customHeight="1">
      <c r="A128" s="118"/>
      <c r="B128" s="26"/>
      <c r="C128" s="26"/>
      <c r="D128" s="27"/>
      <c r="E128" s="26"/>
      <c r="F128" s="26"/>
      <c r="G128" s="26"/>
      <c r="H128" s="28">
        <f t="shared" si="8"/>
        <v>0</v>
      </c>
      <c r="I128" s="35">
        <f t="shared" si="9"/>
        <v>0</v>
      </c>
      <c r="J128" s="26"/>
      <c r="K128" s="26"/>
      <c r="L128" s="26"/>
      <c r="M128" s="32"/>
      <c r="N128" s="32"/>
    </row>
    <row r="129" spans="1:14" ht="20.100000000000001" customHeight="1">
      <c r="A129" s="118"/>
      <c r="B129" s="26"/>
      <c r="C129" s="26"/>
      <c r="D129" s="27"/>
      <c r="E129" s="26"/>
      <c r="F129" s="26"/>
      <c r="G129" s="26"/>
      <c r="H129" s="28">
        <f t="shared" si="8"/>
        <v>0</v>
      </c>
      <c r="I129" s="35">
        <f t="shared" si="9"/>
        <v>0</v>
      </c>
      <c r="J129" s="26"/>
      <c r="K129" s="26"/>
      <c r="L129" s="26"/>
      <c r="M129" s="32"/>
      <c r="N129" s="32"/>
    </row>
    <row r="130" spans="1:14" ht="20.100000000000001" customHeight="1">
      <c r="A130" s="119"/>
      <c r="B130" s="26"/>
      <c r="C130" s="26"/>
      <c r="D130" s="27"/>
      <c r="E130" s="26"/>
      <c r="F130" s="26"/>
      <c r="G130" s="26"/>
      <c r="H130" s="28">
        <f t="shared" si="8"/>
        <v>0</v>
      </c>
      <c r="I130" s="35">
        <f t="shared" si="9"/>
        <v>0</v>
      </c>
      <c r="J130" s="26"/>
      <c r="K130" s="26"/>
      <c r="L130" s="26"/>
      <c r="M130" s="32"/>
      <c r="N130" s="32"/>
    </row>
    <row r="131" spans="1:14" ht="20.100000000000001" customHeight="1">
      <c r="A131" s="41" t="s">
        <v>60</v>
      </c>
      <c r="B131" s="26"/>
      <c r="C131" s="26"/>
      <c r="D131" s="27"/>
      <c r="E131" s="26"/>
      <c r="F131" s="26"/>
      <c r="G131" s="26"/>
      <c r="H131" s="28">
        <f t="shared" si="8"/>
        <v>0</v>
      </c>
      <c r="I131" s="35">
        <f t="shared" si="9"/>
        <v>0</v>
      </c>
      <c r="J131" s="26"/>
      <c r="K131" s="26"/>
      <c r="L131" s="26"/>
      <c r="M131" s="26"/>
      <c r="N131" s="32"/>
    </row>
    <row r="132" spans="1:14" ht="20.100000000000001" customHeight="1">
      <c r="A132" s="117" t="s">
        <v>61</v>
      </c>
      <c r="B132" s="26"/>
      <c r="C132" s="26"/>
      <c r="D132" s="27"/>
      <c r="E132" s="26"/>
      <c r="F132" s="26"/>
      <c r="G132" s="26"/>
      <c r="H132" s="28">
        <f t="shared" si="8"/>
        <v>0</v>
      </c>
      <c r="I132" s="35">
        <f t="shared" si="9"/>
        <v>0</v>
      </c>
      <c r="J132" s="26"/>
      <c r="K132" s="26"/>
      <c r="L132" s="26"/>
      <c r="M132" s="32"/>
      <c r="N132" s="32"/>
    </row>
    <row r="133" spans="1:14" ht="20.100000000000001" customHeight="1">
      <c r="A133" s="118"/>
      <c r="B133" s="26"/>
      <c r="C133" s="32"/>
      <c r="D133" s="29"/>
      <c r="E133" s="26"/>
      <c r="F133" s="26"/>
      <c r="G133" s="26"/>
      <c r="H133" s="28">
        <f t="shared" si="8"/>
        <v>0</v>
      </c>
      <c r="I133" s="35">
        <f t="shared" si="9"/>
        <v>0</v>
      </c>
      <c r="J133" s="26"/>
      <c r="K133" s="26"/>
      <c r="L133" s="26"/>
      <c r="M133" s="26"/>
      <c r="N133" s="32"/>
    </row>
    <row r="134" spans="1:14" ht="20.100000000000001" customHeight="1">
      <c r="A134" s="118"/>
      <c r="B134" s="26"/>
      <c r="C134" s="32"/>
      <c r="D134" s="29"/>
      <c r="E134" s="26"/>
      <c r="F134" s="26"/>
      <c r="G134" s="26"/>
      <c r="H134" s="28">
        <f t="shared" si="8"/>
        <v>0</v>
      </c>
      <c r="I134" s="35">
        <f t="shared" si="9"/>
        <v>0</v>
      </c>
      <c r="J134" s="26"/>
      <c r="K134" s="26"/>
      <c r="L134" s="26"/>
      <c r="M134" s="26"/>
      <c r="N134" s="32"/>
    </row>
    <row r="135" spans="1:14" ht="20.100000000000001" customHeight="1">
      <c r="A135" s="118"/>
      <c r="B135" s="26"/>
      <c r="C135" s="26"/>
      <c r="D135" s="27"/>
      <c r="E135" s="26"/>
      <c r="F135" s="26"/>
      <c r="G135" s="26"/>
      <c r="H135" s="28">
        <f t="shared" si="8"/>
        <v>0</v>
      </c>
      <c r="I135" s="35">
        <f t="shared" si="9"/>
        <v>0</v>
      </c>
      <c r="J135" s="26"/>
      <c r="K135" s="26"/>
      <c r="L135" s="26"/>
      <c r="M135" s="26"/>
      <c r="N135" s="32"/>
    </row>
    <row r="136" spans="1:14" ht="20.100000000000001" customHeight="1">
      <c r="A136" s="118"/>
      <c r="B136" s="26"/>
      <c r="C136" s="26"/>
      <c r="D136" s="27"/>
      <c r="E136" s="26"/>
      <c r="F136" s="26"/>
      <c r="G136" s="26"/>
      <c r="H136" s="28">
        <f t="shared" si="8"/>
        <v>0</v>
      </c>
      <c r="I136" s="35">
        <f t="shared" si="9"/>
        <v>0</v>
      </c>
      <c r="J136" s="26"/>
      <c r="K136" s="26"/>
      <c r="L136" s="26"/>
      <c r="M136" s="26"/>
      <c r="N136" s="32"/>
    </row>
    <row r="137" spans="1:14" ht="20.100000000000001" customHeight="1">
      <c r="A137" s="118"/>
      <c r="B137" s="26"/>
      <c r="C137" s="26"/>
      <c r="D137" s="27"/>
      <c r="E137" s="26"/>
      <c r="F137" s="26"/>
      <c r="G137" s="26"/>
      <c r="H137" s="28">
        <f t="shared" si="8"/>
        <v>0</v>
      </c>
      <c r="I137" s="35">
        <f t="shared" si="9"/>
        <v>0</v>
      </c>
      <c r="J137" s="26"/>
      <c r="K137" s="26"/>
      <c r="L137" s="26"/>
      <c r="M137" s="32"/>
      <c r="N137" s="32"/>
    </row>
    <row r="138" spans="1:14" ht="20.100000000000001" customHeight="1">
      <c r="A138" s="118"/>
      <c r="B138" s="26"/>
      <c r="C138" s="26"/>
      <c r="D138" s="27"/>
      <c r="E138" s="26"/>
      <c r="F138" s="26"/>
      <c r="G138" s="26"/>
      <c r="H138" s="28">
        <f t="shared" si="8"/>
        <v>0</v>
      </c>
      <c r="I138" s="35">
        <f t="shared" si="9"/>
        <v>0</v>
      </c>
      <c r="J138" s="26"/>
      <c r="K138" s="26"/>
      <c r="L138" s="26"/>
      <c r="M138" s="32"/>
      <c r="N138" s="32"/>
    </row>
    <row r="139" spans="1:14" ht="20.100000000000001" customHeight="1">
      <c r="A139" s="116" t="s">
        <v>62</v>
      </c>
      <c r="B139" s="26"/>
      <c r="C139" s="26"/>
      <c r="D139" s="27"/>
      <c r="E139" s="26"/>
      <c r="F139" s="26"/>
      <c r="G139" s="26"/>
      <c r="H139" s="28">
        <f t="shared" si="8"/>
        <v>0</v>
      </c>
      <c r="I139" s="35">
        <f t="shared" si="9"/>
        <v>0</v>
      </c>
      <c r="J139" s="26"/>
      <c r="K139" s="26"/>
      <c r="L139" s="26"/>
      <c r="M139" s="26"/>
      <c r="N139" s="32"/>
    </row>
    <row r="140" spans="1:14" ht="20.100000000000001" customHeight="1">
      <c r="A140" s="112"/>
      <c r="B140" s="26"/>
      <c r="C140" s="26"/>
      <c r="D140" s="27"/>
      <c r="E140" s="26"/>
      <c r="F140" s="26"/>
      <c r="G140" s="26"/>
      <c r="H140" s="28">
        <f t="shared" si="8"/>
        <v>0</v>
      </c>
      <c r="I140" s="35">
        <f t="shared" si="9"/>
        <v>0</v>
      </c>
      <c r="J140" s="26"/>
      <c r="K140" s="26"/>
      <c r="L140" s="26"/>
      <c r="M140" s="32"/>
      <c r="N140" s="32"/>
    </row>
    <row r="141" spans="1:14" ht="20.100000000000001" customHeight="1">
      <c r="A141" s="112"/>
      <c r="B141" s="26"/>
      <c r="C141" s="26"/>
      <c r="D141" s="27"/>
      <c r="E141" s="26"/>
      <c r="F141" s="26"/>
      <c r="G141" s="26"/>
      <c r="H141" s="28">
        <f t="shared" si="8"/>
        <v>0</v>
      </c>
      <c r="I141" s="35">
        <f t="shared" si="9"/>
        <v>0</v>
      </c>
      <c r="J141" s="26"/>
      <c r="K141" s="26"/>
      <c r="L141" s="26"/>
      <c r="M141" s="32"/>
      <c r="N141" s="32"/>
    </row>
    <row r="142" spans="1:14" ht="20.100000000000001" customHeight="1">
      <c r="A142" s="112"/>
      <c r="B142" s="26"/>
      <c r="C142" s="26"/>
      <c r="D142" s="27"/>
      <c r="E142" s="26"/>
      <c r="F142" s="26"/>
      <c r="G142" s="26"/>
      <c r="H142" s="28">
        <f t="shared" si="8"/>
        <v>0</v>
      </c>
      <c r="I142" s="35">
        <f t="shared" si="9"/>
        <v>0</v>
      </c>
      <c r="J142" s="26"/>
      <c r="K142" s="36"/>
      <c r="L142" s="26"/>
      <c r="M142" s="26"/>
      <c r="N142" s="32"/>
    </row>
    <row r="143" spans="1:14" ht="20.100000000000001" customHeight="1">
      <c r="A143" s="112"/>
      <c r="B143" s="26"/>
      <c r="C143" s="26"/>
      <c r="D143" s="27"/>
      <c r="E143" s="26"/>
      <c r="F143" s="26"/>
      <c r="G143" s="26"/>
      <c r="H143" s="28">
        <f t="shared" si="8"/>
        <v>0</v>
      </c>
      <c r="I143" s="35">
        <f t="shared" si="9"/>
        <v>0</v>
      </c>
      <c r="J143" s="26"/>
      <c r="K143" s="26"/>
      <c r="L143" s="36"/>
      <c r="M143" s="26"/>
      <c r="N143" s="32"/>
    </row>
    <row r="144" spans="1:14" ht="20.100000000000001" customHeight="1">
      <c r="A144" s="112"/>
      <c r="B144" s="26"/>
      <c r="C144" s="26"/>
      <c r="D144" s="27"/>
      <c r="E144" s="26"/>
      <c r="F144" s="26"/>
      <c r="G144" s="26"/>
      <c r="H144" s="28">
        <f t="shared" si="8"/>
        <v>0</v>
      </c>
      <c r="I144" s="35">
        <f t="shared" si="9"/>
        <v>0</v>
      </c>
      <c r="J144" s="26"/>
      <c r="K144" s="26"/>
      <c r="L144" s="26"/>
      <c r="M144" s="26"/>
      <c r="N144" s="32"/>
    </row>
    <row r="145" spans="1:14" ht="20.100000000000001" customHeight="1">
      <c r="A145" s="112"/>
      <c r="B145" s="26"/>
      <c r="C145" s="26"/>
      <c r="D145" s="27"/>
      <c r="E145" s="26"/>
      <c r="F145" s="26"/>
      <c r="G145" s="26"/>
      <c r="H145" s="28">
        <f t="shared" si="8"/>
        <v>0</v>
      </c>
      <c r="I145" s="35">
        <f t="shared" si="9"/>
        <v>0</v>
      </c>
      <c r="J145" s="26"/>
      <c r="K145" s="26"/>
      <c r="L145" s="26"/>
      <c r="M145" s="26"/>
      <c r="N145" s="32"/>
    </row>
    <row r="146" spans="1:14" ht="20.100000000000001" customHeight="1">
      <c r="A146" s="116" t="s">
        <v>63</v>
      </c>
      <c r="B146" s="26"/>
      <c r="C146" s="26"/>
      <c r="D146" s="27"/>
      <c r="E146" s="26"/>
      <c r="F146" s="26"/>
      <c r="G146" s="26"/>
      <c r="H146" s="28">
        <f t="shared" si="8"/>
        <v>0</v>
      </c>
      <c r="I146" s="35">
        <f t="shared" si="9"/>
        <v>0</v>
      </c>
      <c r="J146" s="26"/>
      <c r="K146" s="26"/>
      <c r="L146" s="26"/>
      <c r="M146" s="32"/>
      <c r="N146" s="32"/>
    </row>
    <row r="147" spans="1:14" ht="20.100000000000001" customHeight="1">
      <c r="A147" s="112"/>
      <c r="B147" s="26"/>
      <c r="C147" s="26"/>
      <c r="D147" s="27"/>
      <c r="E147" s="26"/>
      <c r="F147" s="26"/>
      <c r="G147" s="26"/>
      <c r="H147" s="28">
        <f t="shared" si="8"/>
        <v>0</v>
      </c>
      <c r="I147" s="35">
        <f t="shared" si="9"/>
        <v>0</v>
      </c>
      <c r="J147" s="26"/>
      <c r="K147" s="26"/>
      <c r="L147" s="26"/>
      <c r="M147" s="26"/>
      <c r="N147" s="32"/>
    </row>
    <row r="148" spans="1:14" ht="20.100000000000001" customHeight="1">
      <c r="A148" s="112"/>
      <c r="B148" s="26"/>
      <c r="C148" s="26"/>
      <c r="D148" s="27"/>
      <c r="E148" s="26"/>
      <c r="F148" s="26"/>
      <c r="G148" s="26"/>
      <c r="H148" s="28">
        <f t="shared" si="8"/>
        <v>0</v>
      </c>
      <c r="I148" s="35">
        <f t="shared" si="9"/>
        <v>0</v>
      </c>
      <c r="J148" s="26"/>
      <c r="K148" s="26"/>
      <c r="L148" s="26"/>
      <c r="M148" s="26"/>
      <c r="N148" s="32"/>
    </row>
    <row r="149" spans="1:14" ht="20.100000000000001" customHeight="1">
      <c r="A149" s="112" t="s">
        <v>64</v>
      </c>
      <c r="B149" s="26"/>
      <c r="C149" s="26"/>
      <c r="D149" s="27"/>
      <c r="E149" s="26"/>
      <c r="F149" s="26"/>
      <c r="G149" s="26"/>
      <c r="H149" s="28">
        <f t="shared" si="8"/>
        <v>0</v>
      </c>
      <c r="I149" s="35">
        <f t="shared" si="9"/>
        <v>0</v>
      </c>
      <c r="J149" s="26"/>
      <c r="K149" s="26"/>
      <c r="L149" s="26"/>
      <c r="M149" s="32"/>
      <c r="N149" s="32"/>
    </row>
    <row r="150" spans="1:14" ht="20.100000000000001" customHeight="1">
      <c r="A150" s="112"/>
      <c r="B150" s="26"/>
      <c r="C150" s="26"/>
      <c r="D150" s="27"/>
      <c r="E150" s="26"/>
      <c r="F150" s="26"/>
      <c r="G150" s="26"/>
      <c r="H150" s="28">
        <f t="shared" si="8"/>
        <v>0</v>
      </c>
      <c r="I150" s="35">
        <f t="shared" si="9"/>
        <v>0</v>
      </c>
      <c r="J150" s="26"/>
      <c r="K150" s="26"/>
      <c r="L150" s="26"/>
      <c r="M150" s="26"/>
      <c r="N150" s="32"/>
    </row>
    <row r="151" spans="1:14" ht="20.100000000000001" customHeight="1">
      <c r="A151" s="112"/>
      <c r="B151" s="26"/>
      <c r="C151" s="26"/>
      <c r="D151" s="27"/>
      <c r="E151" s="26"/>
      <c r="F151" s="26"/>
      <c r="G151" s="26"/>
      <c r="H151" s="28">
        <f t="shared" si="8"/>
        <v>0</v>
      </c>
      <c r="I151" s="35">
        <f t="shared" si="9"/>
        <v>0</v>
      </c>
      <c r="J151" s="26"/>
      <c r="K151" s="26"/>
      <c r="L151" s="26"/>
      <c r="M151" s="32"/>
      <c r="N151" s="32"/>
    </row>
    <row r="152" spans="1:14" ht="20.100000000000001" customHeight="1">
      <c r="A152" s="30" t="s">
        <v>65</v>
      </c>
      <c r="B152" s="26"/>
      <c r="C152" s="26"/>
      <c r="D152" s="27"/>
      <c r="E152" s="26"/>
      <c r="F152" s="26"/>
      <c r="G152" s="26"/>
      <c r="H152" s="28">
        <f t="shared" si="8"/>
        <v>0</v>
      </c>
      <c r="I152" s="35">
        <f t="shared" si="9"/>
        <v>0</v>
      </c>
      <c r="J152" s="26"/>
      <c r="K152" s="26"/>
      <c r="L152" s="26"/>
      <c r="M152" s="26"/>
      <c r="N152" s="32"/>
    </row>
  </sheetData>
  <sheetProtection formatCells="0" insertHyperlinks="0" autoFilter="0"/>
  <mergeCells count="22">
    <mergeCell ref="A72:A74"/>
    <mergeCell ref="A1:N1"/>
    <mergeCell ref="F2:G2"/>
    <mergeCell ref="A3:A10"/>
    <mergeCell ref="A11:A27"/>
    <mergeCell ref="A28:A36"/>
    <mergeCell ref="A149:A151"/>
    <mergeCell ref="O1:O2"/>
    <mergeCell ref="A111:A119"/>
    <mergeCell ref="A120:A130"/>
    <mergeCell ref="A132:A138"/>
    <mergeCell ref="A139:A145"/>
    <mergeCell ref="A146:A148"/>
    <mergeCell ref="A75:A89"/>
    <mergeCell ref="A90:A93"/>
    <mergeCell ref="A94:A96"/>
    <mergeCell ref="A97:A103"/>
    <mergeCell ref="A104:A110"/>
    <mergeCell ref="A37:A45"/>
    <mergeCell ref="A46:A50"/>
    <mergeCell ref="A51:A59"/>
    <mergeCell ref="A60:A71"/>
  </mergeCells>
  <phoneticPr fontId="34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B2:K18"/>
  <sheetViews>
    <sheetView zoomScale="115" zoomScaleNormal="115" workbookViewId="0">
      <selection activeCell="M23" sqref="M23"/>
    </sheetView>
  </sheetViews>
  <sheetFormatPr defaultColWidth="9" defaultRowHeight="13.5"/>
  <cols>
    <col min="3" max="3" width="10.75"/>
    <col min="5" max="5" width="11.125" customWidth="1"/>
    <col min="6" max="6" width="9" customWidth="1"/>
    <col min="7" max="7" width="12.25" customWidth="1"/>
    <col min="8" max="8" width="6.625" customWidth="1"/>
  </cols>
  <sheetData>
    <row r="2" spans="2:11" ht="30" customHeight="1">
      <c r="B2" s="129" t="s">
        <v>66</v>
      </c>
      <c r="C2" s="130"/>
      <c r="D2" s="130"/>
      <c r="E2" s="130"/>
      <c r="F2" s="130"/>
      <c r="G2" s="130"/>
      <c r="H2" s="130"/>
      <c r="I2" s="130"/>
    </row>
    <row r="3" spans="2:11">
      <c r="B3" s="131"/>
      <c r="C3" s="131"/>
      <c r="D3" s="131"/>
      <c r="E3" s="131"/>
      <c r="F3" s="131"/>
      <c r="G3" s="131"/>
      <c r="H3" s="131"/>
      <c r="I3" s="131"/>
    </row>
    <row r="4" spans="2:11" ht="30">
      <c r="B4" s="1" t="s">
        <v>67</v>
      </c>
      <c r="C4" s="2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2" t="s">
        <v>74</v>
      </c>
      <c r="K4" s="15" t="s">
        <v>75</v>
      </c>
    </row>
    <row r="5" spans="2:11" ht="16.5">
      <c r="B5" s="3" t="s">
        <v>76</v>
      </c>
      <c r="C5" s="4">
        <v>3351.76</v>
      </c>
      <c r="D5" s="5">
        <v>12.67</v>
      </c>
      <c r="E5" s="6">
        <v>14.55</v>
      </c>
      <c r="F5" s="7">
        <v>14.13</v>
      </c>
      <c r="G5" s="8">
        <v>65.75</v>
      </c>
      <c r="H5" s="9">
        <f t="shared" ref="H5:H9" si="0">G5*K5</f>
        <v>59.174999999999997</v>
      </c>
      <c r="I5" s="16" t="s">
        <v>44</v>
      </c>
      <c r="K5" s="17">
        <v>0.9</v>
      </c>
    </row>
    <row r="6" spans="2:11" ht="16.5">
      <c r="B6" s="10" t="s">
        <v>77</v>
      </c>
      <c r="C6" s="4">
        <v>10414.61</v>
      </c>
      <c r="D6" s="5">
        <v>9.34</v>
      </c>
      <c r="E6" s="6">
        <v>24.87</v>
      </c>
      <c r="F6" s="7">
        <v>26.83</v>
      </c>
      <c r="G6" s="8">
        <v>36.590000000000003</v>
      </c>
      <c r="H6" s="9">
        <f t="shared" si="0"/>
        <v>45.737499999999997</v>
      </c>
      <c r="I6" s="16" t="s">
        <v>44</v>
      </c>
      <c r="K6" s="17">
        <v>1.25</v>
      </c>
    </row>
    <row r="7" spans="2:11" ht="16.5">
      <c r="B7" s="10" t="s">
        <v>78</v>
      </c>
      <c r="C7" s="4">
        <v>2141.6</v>
      </c>
      <c r="D7" s="5">
        <v>13.23</v>
      </c>
      <c r="E7" s="6">
        <v>33.26</v>
      </c>
      <c r="F7" s="7">
        <v>49.61</v>
      </c>
      <c r="G7" s="8">
        <v>18.59</v>
      </c>
      <c r="H7" s="11" t="s">
        <v>79</v>
      </c>
      <c r="I7" s="18" t="s">
        <v>79</v>
      </c>
      <c r="K7" s="17"/>
    </row>
    <row r="8" spans="2:11" ht="16.5">
      <c r="B8" s="12" t="s">
        <v>80</v>
      </c>
      <c r="C8" s="4">
        <v>20059.95</v>
      </c>
      <c r="D8" s="5">
        <v>17.670000000000002</v>
      </c>
      <c r="E8" s="6">
        <v>9.18</v>
      </c>
      <c r="F8" s="7">
        <v>10.53</v>
      </c>
      <c r="G8" s="8">
        <v>24.14</v>
      </c>
      <c r="H8" s="9">
        <f t="shared" si="0"/>
        <v>24.14</v>
      </c>
      <c r="I8" s="16" t="s">
        <v>81</v>
      </c>
      <c r="K8" s="17">
        <v>1</v>
      </c>
    </row>
    <row r="9" spans="2:11" ht="16.5">
      <c r="B9" s="3" t="s">
        <v>82</v>
      </c>
      <c r="C9" s="4">
        <v>3934.91</v>
      </c>
      <c r="D9" s="5">
        <v>14.68</v>
      </c>
      <c r="E9" s="6">
        <v>12.93</v>
      </c>
      <c r="F9" s="7">
        <v>12.83</v>
      </c>
      <c r="G9" s="8">
        <v>58.51</v>
      </c>
      <c r="H9" s="9">
        <f t="shared" si="0"/>
        <v>49.733499999999999</v>
      </c>
      <c r="I9" s="16" t="s">
        <v>44</v>
      </c>
      <c r="K9" s="17">
        <v>0.85</v>
      </c>
    </row>
    <row r="10" spans="2:11" ht="16.5">
      <c r="B10" s="10" t="s">
        <v>83</v>
      </c>
      <c r="C10" s="4">
        <v>988.93</v>
      </c>
      <c r="D10" s="5">
        <v>16.07</v>
      </c>
      <c r="E10" s="6">
        <v>85.2</v>
      </c>
      <c r="F10" s="7">
        <v>56.93</v>
      </c>
      <c r="G10" s="8">
        <v>96.08</v>
      </c>
      <c r="H10" s="13" t="s">
        <v>79</v>
      </c>
      <c r="I10" s="18" t="s">
        <v>79</v>
      </c>
    </row>
    <row r="11" spans="2:11" ht="16.5">
      <c r="B11" s="10" t="s">
        <v>84</v>
      </c>
      <c r="C11" s="4">
        <v>1567.71</v>
      </c>
      <c r="D11" s="5">
        <v>15.54</v>
      </c>
      <c r="E11" s="6">
        <v>17.809999999999999</v>
      </c>
      <c r="F11" s="7">
        <v>16.260000000000002</v>
      </c>
      <c r="G11" s="8">
        <v>82.35</v>
      </c>
      <c r="H11" s="9">
        <f>G11*K11</f>
        <v>69.997500000000002</v>
      </c>
      <c r="I11" s="16" t="s">
        <v>44</v>
      </c>
      <c r="K11" s="17">
        <v>0.85</v>
      </c>
    </row>
    <row r="12" spans="2:11" ht="16.5">
      <c r="B12" s="3" t="s">
        <v>85</v>
      </c>
      <c r="C12" s="4">
        <v>5021.8599999999997</v>
      </c>
      <c r="D12" s="5">
        <v>10</v>
      </c>
      <c r="E12" s="6">
        <v>18.53</v>
      </c>
      <c r="F12" s="7">
        <v>18.899999999999999</v>
      </c>
      <c r="G12" s="8">
        <v>52.84</v>
      </c>
      <c r="H12" s="9">
        <f>G12*K12</f>
        <v>52.84</v>
      </c>
      <c r="I12" s="16" t="s">
        <v>44</v>
      </c>
      <c r="K12" s="17">
        <v>1</v>
      </c>
    </row>
    <row r="13" spans="2:11" ht="16.5">
      <c r="B13" s="132"/>
      <c r="C13" s="132"/>
      <c r="D13" s="132"/>
      <c r="E13" s="132"/>
      <c r="F13" s="132"/>
      <c r="G13" s="132"/>
      <c r="H13" s="132"/>
      <c r="I13" s="132"/>
    </row>
    <row r="14" spans="2:11" ht="81" customHeight="1">
      <c r="B14" s="128" t="s">
        <v>86</v>
      </c>
      <c r="C14" s="111"/>
      <c r="D14" s="111"/>
      <c r="E14" s="111"/>
      <c r="F14" s="111"/>
      <c r="G14" s="111"/>
      <c r="H14" s="111"/>
      <c r="I14" s="111"/>
    </row>
    <row r="15" spans="2:11" ht="16.5">
      <c r="B15" s="132"/>
      <c r="C15" s="132"/>
      <c r="D15" s="132"/>
      <c r="E15" s="132"/>
      <c r="F15" s="132"/>
      <c r="G15" s="132"/>
      <c r="H15" s="132"/>
      <c r="I15" s="132"/>
    </row>
    <row r="16" spans="2:11" ht="39.950000000000003" customHeight="1">
      <c r="B16" s="128" t="s">
        <v>87</v>
      </c>
      <c r="C16" s="111"/>
      <c r="D16" s="111"/>
      <c r="E16" s="111"/>
      <c r="F16" s="111"/>
      <c r="G16" s="111"/>
      <c r="H16" s="111"/>
      <c r="I16" s="111"/>
    </row>
    <row r="17" spans="2:9" ht="16.5">
      <c r="B17" s="14"/>
      <c r="C17" s="14"/>
      <c r="D17" s="14"/>
      <c r="E17" s="14"/>
      <c r="F17" s="14"/>
      <c r="G17" s="14"/>
      <c r="H17" s="14"/>
      <c r="I17" s="14"/>
    </row>
    <row r="18" spans="2:9" ht="16.5">
      <c r="B18" s="14"/>
      <c r="C18" s="14"/>
      <c r="D18" s="14"/>
      <c r="E18" s="14"/>
      <c r="F18" s="14"/>
      <c r="G18" s="14"/>
      <c r="H18" s="14"/>
      <c r="I18" s="14"/>
    </row>
  </sheetData>
  <mergeCells count="6">
    <mergeCell ref="B16:I16"/>
    <mergeCell ref="B2:I2"/>
    <mergeCell ref="B3:I3"/>
    <mergeCell ref="B13:I13"/>
    <mergeCell ref="B14:I14"/>
    <mergeCell ref="B15:I15"/>
  </mergeCells>
  <phoneticPr fontId="34" type="noConversion"/>
  <conditionalFormatting sqref="D7">
    <cfRule type="cellIs" dxfId="39" priority="49" operator="lessThan">
      <formula>0</formula>
    </cfRule>
    <cfRule type="cellIs" dxfId="38" priority="50" operator="greaterThan">
      <formula>0</formula>
    </cfRule>
  </conditionalFormatting>
  <conditionalFormatting sqref="D8">
    <cfRule type="cellIs" dxfId="37" priority="2" operator="greaterThan">
      <formula>0</formula>
    </cfRule>
    <cfRule type="cellIs" dxfId="36" priority="1" operator="lessThan">
      <formula>0</formula>
    </cfRule>
  </conditionalFormatting>
  <conditionalFormatting sqref="I8">
    <cfRule type="containsText" dxfId="35" priority="10" operator="containsText" text="合理">
      <formula>NOT(ISERROR(SEARCH("合理",I8)))</formula>
    </cfRule>
    <cfRule type="containsText" dxfId="34" priority="9" operator="containsText" text="高估">
      <formula>NOT(ISERROR(SEARCH("高估",I8)))</formula>
    </cfRule>
    <cfRule type="containsText" dxfId="33" priority="8" operator="containsText" text="低估">
      <formula>NOT(ISERROR(SEARCH("低估",I8)))</formula>
    </cfRule>
    <cfRule type="containsText" dxfId="32" priority="7" operator="containsText" text="低估">
      <formula>NOT(ISERROR(SEARCH("低估",I8)))</formula>
    </cfRule>
    <cfRule type="containsText" dxfId="31" priority="6" operator="containsText" text="严重高估">
      <formula>NOT(ISERROR(SEARCH("严重高估",I8)))</formula>
    </cfRule>
    <cfRule type="containsText" dxfId="30" priority="5" operator="containsText" text="严重低估">
      <formula>NOT(ISERROR(SEARCH("严重低估",I8)))</formula>
    </cfRule>
    <cfRule type="containsText" dxfId="29" priority="4" operator="containsText" text="严重高估">
      <formula>NOT(ISERROR(SEARCH("严重高估",I8)))</formula>
    </cfRule>
    <cfRule type="containsText" dxfId="28" priority="3" operator="containsText" text="严重低估">
      <formula>NOT(ISERROR(SEARCH("严重低估",I8)))</formula>
    </cfRule>
  </conditionalFormatting>
  <conditionalFormatting sqref="D10">
    <cfRule type="cellIs" dxfId="27" priority="35" operator="lessThan">
      <formula>0</formula>
    </cfRule>
    <cfRule type="cellIs" dxfId="26" priority="36" operator="greaterThan">
      <formula>0</formula>
    </cfRule>
  </conditionalFormatting>
  <conditionalFormatting sqref="I11">
    <cfRule type="containsText" dxfId="25" priority="19" operator="containsText" text="严重低估">
      <formula>NOT(ISERROR(SEARCH("严重低估",I11)))</formula>
    </cfRule>
    <cfRule type="containsText" dxfId="24" priority="20" operator="containsText" text="严重高估">
      <formula>NOT(ISERROR(SEARCH("严重高估",I11)))</formula>
    </cfRule>
    <cfRule type="containsText" dxfId="23" priority="21" operator="containsText" text="严重低估">
      <formula>NOT(ISERROR(SEARCH("严重低估",I11)))</formula>
    </cfRule>
    <cfRule type="containsText" dxfId="22" priority="22" operator="containsText" text="严重高估">
      <formula>NOT(ISERROR(SEARCH("严重高估",I11)))</formula>
    </cfRule>
    <cfRule type="containsText" dxfId="21" priority="23" operator="containsText" text="低估">
      <formula>NOT(ISERROR(SEARCH("低估",I11)))</formula>
    </cfRule>
    <cfRule type="containsText" dxfId="20" priority="24" operator="containsText" text="低估">
      <formula>NOT(ISERROR(SEARCH("低估",I11)))</formula>
    </cfRule>
    <cfRule type="containsText" dxfId="19" priority="25" operator="containsText" text="高估">
      <formula>NOT(ISERROR(SEARCH("高估",I11)))</formula>
    </cfRule>
    <cfRule type="containsText" dxfId="18" priority="26" operator="containsText" text="合理">
      <formula>NOT(ISERROR(SEARCH("合理",I11)))</formula>
    </cfRule>
  </conditionalFormatting>
  <conditionalFormatting sqref="I12">
    <cfRule type="containsText" dxfId="17" priority="11" operator="containsText" text="严重低估">
      <formula>NOT(ISERROR(SEARCH("严重低估",I12)))</formula>
    </cfRule>
    <cfRule type="containsText" dxfId="16" priority="12" operator="containsText" text="严重高估">
      <formula>NOT(ISERROR(SEARCH("严重高估",I12)))</formula>
    </cfRule>
    <cfRule type="containsText" dxfId="15" priority="13" operator="containsText" text="严重低估">
      <formula>NOT(ISERROR(SEARCH("严重低估",I12)))</formula>
    </cfRule>
    <cfRule type="containsText" dxfId="14" priority="14" operator="containsText" text="严重高估">
      <formula>NOT(ISERROR(SEARCH("严重高估",I12)))</formula>
    </cfRule>
    <cfRule type="containsText" dxfId="13" priority="15" operator="containsText" text="低估">
      <formula>NOT(ISERROR(SEARCH("低估",I12)))</formula>
    </cfRule>
    <cfRule type="containsText" dxfId="12" priority="16" operator="containsText" text="低估">
      <formula>NOT(ISERROR(SEARCH("低估",I12)))</formula>
    </cfRule>
    <cfRule type="containsText" dxfId="11" priority="17" operator="containsText" text="高估">
      <formula>NOT(ISERROR(SEARCH("高估",I12)))</formula>
    </cfRule>
    <cfRule type="containsText" dxfId="10" priority="18" operator="containsText" text="合理">
      <formula>NOT(ISERROR(SEARCH("合理",I12)))</formula>
    </cfRule>
  </conditionalFormatting>
  <conditionalFormatting sqref="D5:D6 D9 D11:D12">
    <cfRule type="cellIs" dxfId="9" priority="51" operator="lessThan">
      <formula>0</formula>
    </cfRule>
    <cfRule type="cellIs" dxfId="8" priority="52" operator="greaterThan">
      <formula>0</formula>
    </cfRule>
  </conditionalFormatting>
  <conditionalFormatting sqref="I5:I6 I9">
    <cfRule type="containsText" dxfId="7" priority="53" operator="containsText" text="严重低估">
      <formula>NOT(ISERROR(SEARCH("严重低估",I5)))</formula>
    </cfRule>
    <cfRule type="containsText" dxfId="6" priority="54" operator="containsText" text="严重高估">
      <formula>NOT(ISERROR(SEARCH("严重高估",I5)))</formula>
    </cfRule>
    <cfRule type="containsText" dxfId="5" priority="55" operator="containsText" text="严重低估">
      <formula>NOT(ISERROR(SEARCH("严重低估",I5)))</formula>
    </cfRule>
    <cfRule type="containsText" dxfId="4" priority="56" operator="containsText" text="严重高估">
      <formula>NOT(ISERROR(SEARCH("严重高估",I5)))</formula>
    </cfRule>
    <cfRule type="containsText" dxfId="3" priority="57" operator="containsText" text="低估">
      <formula>NOT(ISERROR(SEARCH("低估",I5)))</formula>
    </cfRule>
    <cfRule type="containsText" dxfId="2" priority="58" operator="containsText" text="低估">
      <formula>NOT(ISERROR(SEARCH("低估",I5)))</formula>
    </cfRule>
    <cfRule type="containsText" dxfId="1" priority="59" operator="containsText" text="高估">
      <formula>NOT(ISERROR(SEARCH("高估",I5)))</formula>
    </cfRule>
    <cfRule type="containsText" dxfId="0" priority="60" operator="containsText" text="合理">
      <formula>NOT(ISERROR(SEARCH("合理",I5)))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股票(PEG)估值计算方法</vt:lpstr>
      <vt:lpstr>PE区间估值法原始表格</vt:lpstr>
      <vt:lpstr>估值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chaobo wu</dc:creator>
  <cp:lastModifiedBy>Administrator</cp:lastModifiedBy>
  <dcterms:created xsi:type="dcterms:W3CDTF">2020-12-06T09:26:00Z</dcterms:created>
  <dcterms:modified xsi:type="dcterms:W3CDTF">2025-08-31T14:07:42Z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B33A41F982B74B2DA5A6071B96E4BD6B_13</vt:lpwstr>
  </property>
  <property fmtid="{D5CDD505-2E9C-101B-9397-08002B2CF9AE}" pid="4" name="KSOReadingLayout">
    <vt:bool>true</vt:bool>
  </property>
</Properties>
</file>