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8345" windowHeight="8055" tabRatio="849" firstSheet="0" activeTab="0" autoFilterDateGrouping="1"/>
  </bookViews>
  <sheets>
    <sheet xmlns:r="http://schemas.openxmlformats.org/officeDocument/2006/relationships" name="股票(PEG)估值计算方法" sheetId="1" state="visible" r:id="rId1"/>
    <sheet xmlns:r="http://schemas.openxmlformats.org/officeDocument/2006/relationships" name="PE区间估值法原始表格" sheetId="2" state="visible" r:id="rId2"/>
    <sheet xmlns:r="http://schemas.openxmlformats.org/officeDocument/2006/relationships" name="估值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_ "/>
    <numFmt numFmtId="166" formatCode="0_ "/>
    <numFmt numFmtId="167" formatCode="0.0%"/>
  </numFmts>
  <fonts count="35">
    <font>
      <name val="宋体"/>
      <charset val="134"/>
      <color theme="1"/>
      <sz val="11"/>
      <scheme val="minor"/>
    </font>
    <font>
      <name val="微软雅黑"/>
      <family val="2"/>
      <b val="1"/>
      <color rgb="FFFFFF00"/>
      <sz val="14"/>
    </font>
    <font>
      <name val="微软雅黑"/>
      <family val="2"/>
      <b val="1"/>
      <color theme="0"/>
      <sz val="14"/>
    </font>
    <font>
      <name val="微软雅黑"/>
      <family val="2"/>
      <b val="1"/>
      <color theme="1"/>
      <sz val="11"/>
    </font>
    <font>
      <name val="微软雅黑"/>
      <family val="2"/>
      <color theme="1"/>
      <sz val="11"/>
    </font>
    <font>
      <name val="微软雅黑"/>
      <family val="2"/>
      <color theme="1"/>
      <sz val="10"/>
    </font>
    <font>
      <name val="微软雅黑"/>
      <family val="2"/>
      <b val="1"/>
      <color rgb="FFFF0000"/>
      <sz val="9"/>
    </font>
    <font>
      <name val="微软雅黑"/>
      <family val="2"/>
      <color theme="1"/>
      <sz val="9"/>
    </font>
    <font>
      <name val="宋体"/>
      <b val="1"/>
      <color theme="1"/>
      <sz val="11"/>
      <scheme val="minor"/>
    </font>
    <font>
      <name val="微软雅黑"/>
      <family val="2"/>
      <color theme="0"/>
      <sz val="11"/>
    </font>
    <font>
      <name val="宋体"/>
      <color theme="1"/>
      <sz val="12"/>
      <scheme val="minor"/>
    </font>
    <font>
      <name val="思源宋体 CN SemiBold"/>
      <charset val="134"/>
      <b val="1"/>
      <color rgb="FFFFFFFF"/>
      <sz val="36"/>
    </font>
    <font>
      <name val="思源宋体 CN SemiBold"/>
      <charset val="134"/>
      <b val="1"/>
      <color theme="0"/>
      <sz val="36"/>
    </font>
    <font>
      <name val="微软雅黑"/>
      <charset val="134"/>
      <family val="2"/>
      <b val="1"/>
      <color theme="1"/>
      <sz val="16"/>
    </font>
    <font>
      <name val="微软雅黑"/>
      <charset val="134"/>
      <family val="2"/>
      <color rgb="FF000000"/>
      <sz val="12"/>
    </font>
    <font>
      <name val="微软雅黑"/>
      <charset val="134"/>
      <family val="2"/>
      <color rgb="FFF71FF4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color rgb="FF000000"/>
      <sz val="36"/>
    </font>
    <font>
      <name val="微软雅黑"/>
      <charset val="134"/>
      <family val="2"/>
      <color rgb="FFFF0000"/>
      <sz val="12"/>
    </font>
    <font>
      <name val="宋体"/>
      <charset val="134"/>
      <family val="3"/>
      <color rgb="FF000000"/>
      <sz val="12"/>
    </font>
    <font>
      <name val="微软雅黑"/>
      <charset val="134"/>
      <family val="2"/>
      <sz val="12"/>
    </font>
    <font>
      <name val="微软雅黑"/>
      <charset val="134"/>
      <family val="2"/>
      <b val="1"/>
      <color rgb="FF000000"/>
      <sz val="16"/>
    </font>
    <font>
      <name val="微软雅黑"/>
      <charset val="134"/>
      <family val="2"/>
      <b val="1"/>
      <color theme="9" tint="-0.249977111117893"/>
      <sz val="10"/>
    </font>
    <font>
      <name val="微软雅黑"/>
      <charset val="134"/>
      <family val="2"/>
      <b val="1"/>
      <color theme="1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color theme="0"/>
      <sz val="9"/>
    </font>
    <font>
      <name val="微软雅黑"/>
      <charset val="134"/>
      <family val="2"/>
      <color rgb="FFFF0000"/>
      <sz val="9"/>
    </font>
    <font>
      <name val="宋体"/>
      <charset val="134"/>
      <family val="3"/>
      <color rgb="FF0000FF"/>
      <sz val="11"/>
      <u val="single"/>
      <scheme val="minor"/>
    </font>
    <font>
      <name val="微软雅黑"/>
      <charset val="134"/>
      <family val="2"/>
      <b val="1"/>
      <color theme="1"/>
      <sz val="8"/>
    </font>
    <font>
      <name val="宋体"/>
      <charset val="134"/>
      <family val="3"/>
      <b val="1"/>
      <color theme="1"/>
      <sz val="16"/>
      <scheme val="minor"/>
    </font>
    <font>
      <name val="思源宋体 CN SemiBold"/>
      <charset val="134"/>
      <color rgb="FFFFFFFF"/>
      <sz val="12"/>
    </font>
    <font>
      <name val="微软雅黑"/>
      <charset val="134"/>
      <family val="2"/>
      <b val="1"/>
      <color rgb="FF00B0F0"/>
      <sz val="10"/>
    </font>
    <font>
      <name val="微软雅黑"/>
      <charset val="134"/>
      <family val="2"/>
      <b val="1"/>
      <color rgb="FFFF0000"/>
      <sz val="9"/>
    </font>
    <font>
      <name val="微软雅黑"/>
      <charset val="134"/>
      <family val="2"/>
      <color theme="1"/>
      <sz val="9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27" fillId="0" borderId="0" applyAlignment="1">
      <alignment vertical="center"/>
    </xf>
  </cellStyleXfs>
  <cellXfs count="185">
    <xf numFmtId="0" fontId="0" fillId="0" borderId="0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164" fontId="4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164" fontId="3" fillId="5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13" fillId="4" borderId="2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/>
    </xf>
    <xf numFmtId="0" fontId="14" fillId="0" borderId="4" applyAlignment="1" pivotButton="0" quotePrefix="0" xfId="0">
      <alignment horizontal="left"/>
    </xf>
    <xf numFmtId="0" fontId="15" fillId="0" borderId="4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left"/>
    </xf>
    <xf numFmtId="0" fontId="15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13" fillId="0" borderId="1" applyAlignment="1" pivotButton="0" quotePrefix="0" xfId="0">
      <alignment horizontal="center" vertical="center"/>
    </xf>
    <xf numFmtId="165" fontId="16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/>
    </xf>
    <xf numFmtId="0" fontId="18" fillId="0" borderId="4" applyAlignment="1" pivotButton="0" quotePrefix="0" xfId="0">
      <alignment horizontal="center"/>
    </xf>
    <xf numFmtId="0" fontId="19" fillId="0" borderId="0" applyAlignment="1" pivotButton="0" quotePrefix="0" xfId="0">
      <alignment horizontal="left" vertical="center" wrapText="1"/>
    </xf>
    <xf numFmtId="0" fontId="18" fillId="0" borderId="1" applyAlignment="1" pivotButton="0" quotePrefix="0" xfId="0">
      <alignment horizontal="center"/>
    </xf>
    <xf numFmtId="164" fontId="16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wrapText="1"/>
    </xf>
    <xf numFmtId="0" fontId="20" fillId="0" borderId="1" applyAlignment="1" pivotButton="0" quotePrefix="0" xfId="1">
      <alignment horizontal="center"/>
    </xf>
    <xf numFmtId="0" fontId="16" fillId="0" borderId="0" pivotButton="0" quotePrefix="0" xfId="0"/>
    <xf numFmtId="0" fontId="16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 wrapText="1"/>
    </xf>
    <xf numFmtId="166" fontId="23" fillId="4" borderId="1" applyAlignment="1" pivotButton="0" quotePrefix="0" xfId="0">
      <alignment horizontal="center" vertical="center" wrapText="1"/>
    </xf>
    <xf numFmtId="10" fontId="7" fillId="0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vertical="center"/>
    </xf>
    <xf numFmtId="165" fontId="23" fillId="5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166" fontId="23" fillId="5" borderId="1" applyAlignment="1" pivotButton="0" quotePrefix="0" xfId="0">
      <alignment vertical="center"/>
    </xf>
    <xf numFmtId="166" fontId="23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165" fontId="23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24" fillId="0" borderId="1" applyAlignment="1" pivotButton="0" quotePrefix="0" xfId="0">
      <alignment horizontal="center" vertical="center" wrapText="1"/>
    </xf>
    <xf numFmtId="166" fontId="7" fillId="5" borderId="1" applyAlignment="1" pivotButton="0" quotePrefix="0" xfId="0">
      <alignment vertical="center" wrapText="1"/>
    </xf>
    <xf numFmtId="164" fontId="25" fillId="5" borderId="1" applyAlignment="1" pivotButton="0" quotePrefix="0" xfId="0">
      <alignment vertical="center" wrapText="1"/>
    </xf>
    <xf numFmtId="9" fontId="7" fillId="5" borderId="1" applyAlignment="1" pivotButton="0" quotePrefix="0" xfId="0">
      <alignment horizontal="center" vertical="center" wrapText="1"/>
    </xf>
    <xf numFmtId="164" fontId="25" fillId="0" borderId="1" applyAlignment="1" pivotButton="0" quotePrefix="0" xfId="0">
      <alignment vertical="center" wrapText="1"/>
    </xf>
    <xf numFmtId="9" fontId="7" fillId="0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vertical="center" wrapText="1"/>
    </xf>
    <xf numFmtId="166" fontId="7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vertical="center" wrapText="1"/>
    </xf>
    <xf numFmtId="167" fontId="7" fillId="0" borderId="1" applyAlignment="1" pivotButton="0" quotePrefix="0" xfId="0">
      <alignment horizontal="center" vertical="center" wrapText="1"/>
    </xf>
    <xf numFmtId="0" fontId="23" fillId="0" borderId="0" applyAlignment="1" pivotButton="0" quotePrefix="0" xfId="0">
      <alignment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4" fontId="26" fillId="0" borderId="1" applyAlignment="1" pivotButton="0" quotePrefix="0" xfId="0">
      <alignment vertical="center" wrapText="1"/>
    </xf>
    <xf numFmtId="166" fontId="26" fillId="0" borderId="1" applyAlignment="1" pivotButton="0" quotePrefix="0" xfId="0">
      <alignment vertical="center"/>
    </xf>
    <xf numFmtId="165" fontId="7" fillId="5" borderId="1" applyAlignment="1" pivotButton="0" quotePrefix="0" xfId="0">
      <alignment vertical="center" wrapText="1"/>
    </xf>
    <xf numFmtId="166" fontId="26" fillId="0" borderId="1" applyAlignment="1" pivotButton="0" quotePrefix="0" xfId="0">
      <alignment vertical="center" wrapText="1"/>
    </xf>
    <xf numFmtId="0" fontId="26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4" fontId="2" fillId="2" borderId="11" applyAlignment="1" pivotButton="0" quotePrefix="0" xfId="0">
      <alignment vertical="center" wrapText="1"/>
    </xf>
    <xf numFmtId="14" fontId="2" fillId="2" borderId="14" applyAlignment="1" pivotButton="0" quotePrefix="0" xfId="0">
      <alignment vertical="center" wrapText="1"/>
    </xf>
    <xf numFmtId="0" fontId="24" fillId="0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/>
    </xf>
    <xf numFmtId="164" fontId="24" fillId="4" borderId="1" applyAlignment="1" pivotButton="0" quotePrefix="0" xfId="0">
      <alignment horizontal="center" vertical="center" wrapText="1"/>
    </xf>
    <xf numFmtId="166" fontId="23" fillId="4" borderId="3" applyAlignment="1" pivotButton="0" quotePrefix="0" xfId="0">
      <alignment horizontal="center" vertical="center" wrapText="1"/>
    </xf>
    <xf numFmtId="166" fontId="23" fillId="4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3" fillId="4" borderId="3" applyAlignment="1" pivotButton="0" quotePrefix="0" xfId="0">
      <alignment horizontal="center" vertical="center" wrapText="1"/>
    </xf>
    <xf numFmtId="0" fontId="23" fillId="4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164" fontId="24" fillId="0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/>
    </xf>
    <xf numFmtId="14" fontId="2" fillId="2" borderId="10" applyAlignment="1" pivotButton="0" quotePrefix="0" xfId="0">
      <alignment horizontal="center" vertical="center" wrapText="1"/>
    </xf>
    <xf numFmtId="14" fontId="2" fillId="2" borderId="11" applyAlignment="1" pivotButton="0" quotePrefix="0" xfId="0">
      <alignment horizontal="center" vertical="center" wrapText="1"/>
    </xf>
    <xf numFmtId="14" fontId="2" fillId="2" borderId="13" applyAlignment="1" pivotButton="0" quotePrefix="0" xfId="0">
      <alignment horizontal="center" vertical="center" wrapText="1"/>
    </xf>
    <xf numFmtId="14" fontId="2" fillId="2" borderId="14" applyAlignment="1" pivotButton="0" quotePrefix="0" xfId="0">
      <alignment horizontal="center" vertical="center" wrapText="1"/>
    </xf>
    <xf numFmtId="14" fontId="2" fillId="2" borderId="12" applyAlignment="1" pivotButton="0" quotePrefix="0" xfId="0">
      <alignment horizontal="center" vertical="center" wrapText="1"/>
    </xf>
    <xf numFmtId="14" fontId="2" fillId="2" borderId="15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/>
    </xf>
    <xf numFmtId="0" fontId="21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4" fontId="2" fillId="2" borderId="7" applyAlignment="1" pivotButton="0" quotePrefix="0" xfId="0">
      <alignment horizontal="center" vertical="center" wrapText="1"/>
    </xf>
    <xf numFmtId="0" fontId="0" fillId="0" borderId="11" pivotButton="0" quotePrefix="0" xfId="0"/>
    <xf numFmtId="14" fontId="2" fillId="2" borderId="9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2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3" fillId="4" borderId="1" applyAlignment="1" pivotButton="0" quotePrefix="0" xfId="0">
      <alignment horizontal="center" vertical="center" wrapText="1"/>
    </xf>
    <xf numFmtId="164" fontId="24" fillId="0" borderId="1" applyAlignment="1" pivotButton="0" quotePrefix="0" xfId="0">
      <alignment horizontal="center" vertical="center" wrapText="1"/>
    </xf>
    <xf numFmtId="164" fontId="24" fillId="4" borderId="1" applyAlignment="1" pivotButton="0" quotePrefix="0" xfId="0">
      <alignment horizontal="center" vertical="center" wrapText="1"/>
    </xf>
    <xf numFmtId="166" fontId="23" fillId="4" borderId="1" applyAlignment="1" pivotButton="0" quotePrefix="0" xfId="0">
      <alignment horizontal="center" vertical="center" wrapText="1"/>
    </xf>
    <xf numFmtId="164" fontId="2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164" fontId="7" fillId="5" borderId="1" applyAlignment="1" pivotButton="0" quotePrefix="0" xfId="0">
      <alignment vertical="center"/>
    </xf>
    <xf numFmtId="165" fontId="23" fillId="5" borderId="1" applyAlignment="1" pivotButton="0" quotePrefix="0" xfId="0">
      <alignment vertical="center"/>
    </xf>
    <xf numFmtId="166" fontId="7" fillId="5" borderId="1" applyAlignment="1" pivotButton="0" quotePrefix="0" xfId="0">
      <alignment vertical="center" wrapText="1"/>
    </xf>
    <xf numFmtId="164" fontId="25" fillId="5" borderId="1" applyAlignment="1" pivotButton="0" quotePrefix="0" xfId="0">
      <alignment vertical="center" wrapText="1"/>
    </xf>
    <xf numFmtId="165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166" fontId="23" fillId="5" borderId="1" applyAlignment="1" pivotButton="0" quotePrefix="0" xfId="0">
      <alignment vertical="center"/>
    </xf>
    <xf numFmtId="166" fontId="23" fillId="0" borderId="1" applyAlignment="1" pivotButton="0" quotePrefix="0" xfId="0">
      <alignment vertical="center"/>
    </xf>
    <xf numFmtId="164" fontId="25" fillId="0" borderId="1" applyAlignment="1" pivotButton="0" quotePrefix="0" xfId="0">
      <alignment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23" fillId="0" borderId="1" applyAlignment="1" pivotButton="0" quotePrefix="0" xfId="0">
      <alignment vertical="center"/>
    </xf>
    <xf numFmtId="166" fontId="7" fillId="0" borderId="1" applyAlignment="1" pivotButton="0" quotePrefix="0" xfId="0">
      <alignment vertical="center" wrapText="1"/>
    </xf>
    <xf numFmtId="167" fontId="7" fillId="0" borderId="1" applyAlignment="1" pivotButton="0" quotePrefix="0" xfId="0">
      <alignment horizontal="center" vertical="center" wrapText="1"/>
    </xf>
    <xf numFmtId="165" fontId="7" fillId="5" borderId="1" applyAlignment="1" pivotButton="0" quotePrefix="0" xfId="0">
      <alignment vertical="center" wrapText="1"/>
    </xf>
    <xf numFmtId="164" fontId="26" fillId="0" borderId="1" applyAlignment="1" pivotButton="0" quotePrefix="0" xfId="0">
      <alignment vertical="center" wrapText="1"/>
    </xf>
    <xf numFmtId="166" fontId="26" fillId="0" borderId="1" applyAlignment="1" pivotButton="0" quotePrefix="0" xfId="0">
      <alignment vertical="center"/>
    </xf>
    <xf numFmtId="166" fontId="26" fillId="0" borderId="1" applyAlignment="1" pivotButton="0" quotePrefix="0" xfId="0">
      <alignment vertical="center" wrapText="1"/>
    </xf>
    <xf numFmtId="164" fontId="7" fillId="0" borderId="0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2" pivotButton="0" quotePrefix="0" xfId="0"/>
    <xf numFmtId="164" fontId="16" fillId="0" borderId="1" applyAlignment="1" pivotButton="0" quotePrefix="0" xfId="0">
      <alignment horizontal="center"/>
    </xf>
    <xf numFmtId="165" fontId="16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vertical="center"/>
    </xf>
    <xf numFmtId="164" fontId="4" fillId="0" borderId="1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2">
    <cellStyle name="常规" xfId="0" builtinId="0"/>
    <cellStyle name="超链接" xfId="1" builtinId="8"/>
  </cellStyles>
  <dxfs count="67"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6" tint="0.3999755851924192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6" tint="0.3999755851924192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ill>
        <patternFill patternType="solid">
          <bgColor rgb="FF00B0F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theme="6" tint="0.3999755851924192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theme="0"/>
      </font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6" tint="0.3999755851924192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0.5999938962981048"/>
        </patternFill>
      </fill>
    </dxf>
    <dxf>
      <fill>
        <patternFill patternType="solid">
          <bgColor theme="6" tint="0.399975585192419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0.5999938962981048"/>
        </patternFill>
      </fill>
    </dxf>
    <dxf>
      <fill>
        <patternFill patternType="solid">
          <bgColor theme="6" tint="0.399975585192419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3" tint="0.5999938962981048"/>
        </patternFill>
      </fill>
    </dxf>
    <dxf>
      <fill>
        <patternFill patternType="solid">
          <bgColor theme="6" tint="0.3999755851924192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2:S81"/>
  <sheetViews>
    <sheetView tabSelected="1" zoomScaleNormal="100" workbookViewId="0">
      <pane ySplit="6" topLeftCell="A7" activePane="bottomLeft" state="frozen"/>
      <selection pane="bottomLeft" activeCell="Q10" sqref="Q10"/>
    </sheetView>
  </sheetViews>
  <sheetFormatPr baseColWidth="8" defaultColWidth="9" defaultRowHeight="14.25"/>
  <cols>
    <col width="9" customWidth="1" style="42" min="1" max="1"/>
    <col width="7" customWidth="1" style="42" min="2" max="2"/>
    <col width="14.25" customWidth="1" style="42" min="3" max="3"/>
    <col width="13.875" customWidth="1" style="42" min="4" max="4"/>
    <col width="7.875" customWidth="1" style="43" min="5" max="5"/>
    <col width="7" customWidth="1" style="133" min="6" max="6"/>
    <col width="6.125" customWidth="1" style="133" min="7" max="7"/>
    <col width="6.125" customWidth="1" style="134" min="8" max="10"/>
    <col width="6.125" customWidth="1" style="42" min="11" max="11"/>
    <col width="5.875" customWidth="1" style="134" min="12" max="12"/>
    <col width="7.125" customWidth="1" style="42" min="13" max="13"/>
    <col width="13.375" customWidth="1" style="42" min="14" max="14"/>
    <col width="9" customWidth="1" style="46" min="15" max="15"/>
    <col width="8.625" customWidth="1" style="43" min="16" max="17"/>
    <col width="9.75" customWidth="1" style="135" min="18" max="18"/>
    <col width="31.5" customWidth="1" style="42" min="19" max="19"/>
    <col width="9" customWidth="1" style="42" min="20" max="16382"/>
  </cols>
  <sheetData>
    <row r="2" ht="13.5" customHeight="1" s="136">
      <c r="B2" s="137" t="inlineStr">
        <is>
          <t>【股票估值计算方法】数据更新时间：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86" t="n"/>
      <c r="M2" s="139">
        <f>TODAY()</f>
        <v/>
      </c>
      <c r="N2" s="138" t="n"/>
      <c r="O2" s="140" t="n"/>
      <c r="P2" s="106" t="inlineStr">
        <is>
          <t>Estimated</t>
        </is>
      </c>
      <c r="Q2" s="138" t="n"/>
      <c r="R2" s="140" t="n"/>
    </row>
    <row r="3" ht="13.5" customHeight="1" s="136">
      <c r="B3" s="141" t="n"/>
      <c r="C3" s="142" t="n"/>
      <c r="D3" s="142" t="n"/>
      <c r="E3" s="142" t="n"/>
      <c r="F3" s="142" t="n"/>
      <c r="G3" s="142" t="n"/>
      <c r="H3" s="142" t="n"/>
      <c r="I3" s="142" t="n"/>
      <c r="J3" s="142" t="n"/>
      <c r="K3" s="142" t="n"/>
      <c r="L3" s="87" t="n"/>
      <c r="M3" s="142" t="n"/>
      <c r="N3" s="142" t="n"/>
      <c r="O3" s="143" t="n"/>
      <c r="P3" s="141" t="n"/>
      <c r="Q3" s="142" t="n"/>
      <c r="R3" s="143" t="n"/>
    </row>
    <row r="4" ht="50.1" customHeight="1" s="136">
      <c r="B4" s="144" t="inlineStr">
        <is>
          <t>※ 重点提示：以下内容全部为个人日记总结记录，仅限交流使用，不构成任何投资建议，请大家谨慎投资，全部风险自负。（货币单位：A股人民币、H/B股港元、美股/其它为美元，请注意汇率换算），股价除权后，请注意股本的变化，请对应更新日期自行换算除权影响。</t>
        </is>
      </c>
      <c r="C4" s="145" t="n"/>
      <c r="D4" s="145" t="n"/>
      <c r="E4" s="145" t="n"/>
      <c r="F4" s="145" t="n"/>
      <c r="G4" s="145" t="n"/>
      <c r="H4" s="145" t="n"/>
      <c r="I4" s="145" t="n"/>
      <c r="J4" s="145" t="n"/>
      <c r="K4" s="145" t="n"/>
      <c r="L4" s="145" t="n"/>
      <c r="M4" s="145" t="n"/>
      <c r="N4" s="145" t="n"/>
      <c r="O4" s="146" t="n"/>
      <c r="P4" s="111" t="inlineStr">
        <is>
          <t>理想买点：P/PEG*0.75*Prosperity index
1年内卖点：P/PEG*2*Prosperity index
3年后估值：CAP/PEG*(1+G)^3*Prosperity index</t>
        </is>
      </c>
      <c r="Q4" s="145" t="n"/>
      <c r="R4" s="146" t="n"/>
      <c r="S4" s="46" t="inlineStr">
        <is>
          <t>*表示处于景气周期中，阶段性高估</t>
        </is>
      </c>
    </row>
    <row r="5" ht="42.75" customHeight="1" s="136">
      <c r="A5" s="0" t="n"/>
      <c r="B5" s="147" t="inlineStr">
        <is>
          <t>安全
系数</t>
        </is>
      </c>
      <c r="C5" s="97" t="inlineStr">
        <is>
          <t>公司</t>
        </is>
      </c>
      <c r="D5" s="97" t="inlineStr">
        <is>
          <t>看点</t>
        </is>
      </c>
      <c r="E5" s="94" t="inlineStr">
        <is>
          <t>景气指数
（0-200）</t>
        </is>
      </c>
      <c r="F5" s="148" t="inlineStr">
        <is>
          <t>当前
股价</t>
        </is>
      </c>
      <c r="G5" s="149" t="inlineStr">
        <is>
          <t>合理
价位</t>
        </is>
      </c>
      <c r="H5" s="150" t="inlineStr">
        <is>
          <t>理想
买点</t>
        </is>
      </c>
      <c r="I5" s="150" t="inlineStr">
        <is>
          <t>减仓
价位</t>
        </is>
      </c>
      <c r="J5" s="150" t="inlineStr">
        <is>
          <t>1年内
卖点</t>
        </is>
      </c>
      <c r="K5" s="88" t="inlineStr">
        <is>
          <t>当前
市值</t>
        </is>
      </c>
      <c r="L5" s="150" t="inlineStr">
        <is>
          <t>3年后
理想估值</t>
        </is>
      </c>
      <c r="M5" s="88" t="inlineStr">
        <is>
          <t>年内
涨幅</t>
        </is>
      </c>
      <c r="N5" s="94" t="inlineStr">
        <is>
          <t>风险追踪</t>
        </is>
      </c>
      <c r="O5" s="88" t="inlineStr">
        <is>
          <t>更新
日期</t>
        </is>
      </c>
      <c r="P5" s="88" t="inlineStr">
        <is>
          <t>CAGR（E）</t>
        </is>
      </c>
      <c r="Q5" s="88" t="inlineStr">
        <is>
          <t>PE
(2025-2027E)</t>
        </is>
      </c>
      <c r="R5" s="151" t="inlineStr">
        <is>
          <t>PEG
(E)</t>
        </is>
      </c>
      <c r="S5" s="73" t="inlineStr">
        <is>
          <t>字母A和E分别为actual和estimate的简写</t>
        </is>
      </c>
    </row>
    <row r="6">
      <c r="A6" s="0" t="n"/>
      <c r="B6" s="152" t="n"/>
      <c r="C6" s="152" t="n"/>
      <c r="D6" s="152" t="n"/>
      <c r="E6" s="152" t="n"/>
      <c r="F6" s="152" t="n"/>
      <c r="G6" s="152" t="n"/>
      <c r="H6" s="150" t="inlineStr">
        <is>
          <t>小于＜</t>
        </is>
      </c>
      <c r="I6" s="152" t="n"/>
      <c r="J6" s="150" t="inlineStr">
        <is>
          <t>高于＞</t>
        </is>
      </c>
      <c r="K6" s="88" t="inlineStr">
        <is>
          <t>（亿）</t>
        </is>
      </c>
      <c r="L6" s="150" t="inlineStr">
        <is>
          <t>（亿）</t>
        </is>
      </c>
      <c r="M6" s="88" t="inlineStr">
        <is>
          <t>（%）</t>
        </is>
      </c>
      <c r="N6" s="152" t="n"/>
      <c r="O6" s="152" t="n"/>
      <c r="P6" s="152" t="n"/>
      <c r="Q6" s="152" t="n"/>
      <c r="R6" s="152" t="n"/>
      <c r="S6" s="73" t="inlineStr">
        <is>
          <t>字母A和E分别为actual和estimate的简写</t>
        </is>
      </c>
    </row>
    <row r="7">
      <c r="A7" s="0" t="n"/>
      <c r="B7" s="49">
        <f>H7/F7</f>
        <v/>
      </c>
      <c r="C7" s="50" t="inlineStr">
        <is>
          <t>美的集团000333</t>
        </is>
      </c>
      <c r="D7" s="50" t="inlineStr">
        <is>
          <t>XXXX</t>
        </is>
      </c>
      <c r="E7" s="55" t="n">
        <v>110</v>
      </c>
      <c r="F7" s="153" t="n">
        <v>75.7</v>
      </c>
      <c r="G7" s="154">
        <f>H7/0.75</f>
        <v/>
      </c>
      <c r="H7" s="154">
        <f>F7/R7*0.75*E7%</f>
        <v/>
      </c>
      <c r="I7" s="154">
        <f>G7*1.5</f>
        <v/>
      </c>
      <c r="J7" s="155">
        <f>F7/R7*2*E7%</f>
        <v/>
      </c>
      <c r="K7" s="62" t="n">
        <v>5812</v>
      </c>
      <c r="L7" s="155">
        <f>K7/R7*(1+P7)^3*E7%</f>
        <v/>
      </c>
      <c r="M7" s="156" t="n"/>
      <c r="N7" s="62" t="inlineStr">
        <is>
          <t>XXX</t>
        </is>
      </c>
      <c r="O7" s="78" t="inlineStr">
        <is>
          <t>XXX</t>
        </is>
      </c>
      <c r="P7" s="66" t="n">
        <v>0.13</v>
      </c>
      <c r="Q7" s="157" t="n">
        <v>16</v>
      </c>
      <c r="R7" s="158">
        <f>Q7/(P7*100)</f>
        <v/>
      </c>
    </row>
    <row r="8">
      <c r="A8" s="0" t="n"/>
      <c r="B8" s="49">
        <f>H8/F8</f>
        <v/>
      </c>
      <c r="C8" s="54" t="inlineStr">
        <is>
          <t>海尔智家600690</t>
        </is>
      </c>
      <c r="D8" s="54" t="n"/>
      <c r="E8" s="55" t="n">
        <v>110</v>
      </c>
      <c r="F8" s="153" t="n">
        <v>26.26</v>
      </c>
      <c r="G8" s="159">
        <f>H8/0.75</f>
        <v/>
      </c>
      <c r="H8" s="160">
        <f>F8/R8*0.75*E8%</f>
        <v/>
      </c>
      <c r="I8" s="159">
        <f>G8*1.5</f>
        <v/>
      </c>
      <c r="J8" s="155">
        <f>F8/R8*2*E8%</f>
        <v/>
      </c>
      <c r="K8" s="78" t="n">
        <v>2330</v>
      </c>
      <c r="L8" s="155">
        <f>K8/R8*(1+P8)^3*E8%</f>
        <v/>
      </c>
      <c r="M8" s="161" t="n"/>
      <c r="N8" s="78" t="n"/>
      <c r="O8" s="78" t="n"/>
      <c r="P8" s="68" t="n">
        <v>0.15</v>
      </c>
      <c r="Q8" s="162" t="n">
        <v>14</v>
      </c>
      <c r="R8" s="163">
        <f>Q8/(P8*100)</f>
        <v/>
      </c>
    </row>
    <row r="9">
      <c r="A9" s="0" t="n"/>
      <c r="B9" s="49">
        <f>H9/F9</f>
        <v/>
      </c>
      <c r="C9" s="54" t="inlineStr">
        <is>
          <t>中国平安601318</t>
        </is>
      </c>
      <c r="D9" s="54" t="n"/>
      <c r="E9" s="55" t="n">
        <v>110</v>
      </c>
      <c r="F9" s="153" t="n">
        <v>59.41</v>
      </c>
      <c r="G9" s="159">
        <f>H9/0.75</f>
        <v/>
      </c>
      <c r="H9" s="160">
        <f>F9/R9*0.75*E9%</f>
        <v/>
      </c>
      <c r="I9" s="159">
        <f>G9*1.5</f>
        <v/>
      </c>
      <c r="J9" s="155">
        <f>F9/R9*2*E9%</f>
        <v/>
      </c>
      <c r="K9" s="78" t="n">
        <v>10900</v>
      </c>
      <c r="L9" s="155">
        <f>K9/R9*(1+P9)^3*E9%</f>
        <v/>
      </c>
      <c r="M9" s="161" t="n"/>
      <c r="N9" s="78" t="n"/>
      <c r="O9" s="78" t="n"/>
      <c r="P9" s="68" t="n">
        <v>0.1</v>
      </c>
      <c r="Q9" s="162" t="n">
        <v>10</v>
      </c>
      <c r="R9" s="163">
        <f>Q9/(P9*100)</f>
        <v/>
      </c>
    </row>
    <row r="10">
      <c r="A10" s="0" t="n"/>
      <c r="B10" s="49">
        <f>H10/F10</f>
        <v/>
      </c>
      <c r="C10" s="50" t="inlineStr">
        <is>
          <t>长江电力600900</t>
        </is>
      </c>
      <c r="D10" s="50" t="n"/>
      <c r="E10" s="51" t="n">
        <v>100</v>
      </c>
      <c r="F10" s="153" t="n">
        <v>27.05</v>
      </c>
      <c r="G10" s="154">
        <f>H10/0.75</f>
        <v/>
      </c>
      <c r="H10" s="154">
        <f>F10/R10*0.75*E10%</f>
        <v/>
      </c>
      <c r="I10" s="154">
        <f>G10*1.5</f>
        <v/>
      </c>
      <c r="J10" s="155">
        <f>F10/R10*2*E10%</f>
        <v/>
      </c>
      <c r="K10" s="62" t="n">
        <v>6619</v>
      </c>
      <c r="L10" s="155">
        <f>K10/R10*(1+P10)^3*E10%</f>
        <v/>
      </c>
      <c r="M10" s="69" t="n"/>
      <c r="N10" s="62" t="n"/>
      <c r="O10" s="78" t="n"/>
      <c r="P10" s="66" t="n">
        <v>0.2</v>
      </c>
      <c r="Q10" s="157" t="n">
        <v>25</v>
      </c>
      <c r="R10" s="158">
        <f>Q10/(P10*100)</f>
        <v/>
      </c>
    </row>
    <row r="11">
      <c r="A11" s="0" t="n"/>
      <c r="B11" s="49">
        <f>H11/F11</f>
        <v/>
      </c>
      <c r="C11" s="50" t="inlineStr">
        <is>
          <t>牧原股份002714</t>
        </is>
      </c>
      <c r="D11" s="50" t="n"/>
      <c r="E11" s="51" t="n">
        <v>110</v>
      </c>
      <c r="F11" s="153" t="n">
        <v>41.14</v>
      </c>
      <c r="G11" s="154">
        <f>H11/0.75</f>
        <v/>
      </c>
      <c r="H11" s="154">
        <f>F11/R11*0.75*E11%</f>
        <v/>
      </c>
      <c r="I11" s="154">
        <f>G11*1.5</f>
        <v/>
      </c>
      <c r="J11" s="155">
        <f>F11/R11*2*E11%</f>
        <v/>
      </c>
      <c r="K11" s="62" t="n">
        <v>2247</v>
      </c>
      <c r="L11" s="155">
        <f>K11/R11*(1+P11)^3*E11%</f>
        <v/>
      </c>
      <c r="M11" s="156" t="n"/>
      <c r="N11" s="62" t="n"/>
      <c r="O11" s="78" t="n"/>
      <c r="P11" s="66" t="n">
        <v>0.1</v>
      </c>
      <c r="Q11" s="157" t="n">
        <v>12</v>
      </c>
      <c r="R11" s="158">
        <f>Q11/(P11*100)</f>
        <v/>
      </c>
    </row>
    <row r="12">
      <c r="A12" s="0" t="n"/>
      <c r="B12" s="49">
        <f>H12/F12</f>
        <v/>
      </c>
      <c r="C12" s="54" t="inlineStr">
        <is>
          <t>中国海油600938</t>
        </is>
      </c>
      <c r="D12" s="54" t="n"/>
      <c r="E12" s="58" t="n">
        <v>95</v>
      </c>
      <c r="F12" s="153" t="n"/>
      <c r="G12" s="154">
        <f>H12/0.75</f>
        <v/>
      </c>
      <c r="H12" s="164">
        <f>F12/R12*0.75*E12%</f>
        <v/>
      </c>
      <c r="I12" s="154">
        <f>G12*1.5</f>
        <v/>
      </c>
      <c r="J12" s="155">
        <f>F12/R12*2*E12%</f>
        <v/>
      </c>
      <c r="K12" s="78" t="n"/>
      <c r="L12" s="165">
        <f>K12/R12*(1+P12)^3*E12%</f>
        <v/>
      </c>
      <c r="M12" s="71" t="n"/>
      <c r="N12" s="78" t="n"/>
      <c r="O12" s="78" t="n"/>
      <c r="P12" s="68" t="n"/>
      <c r="Q12" s="162" t="n"/>
      <c r="R12" s="163">
        <f>Q12/(P12*100)</f>
        <v/>
      </c>
    </row>
    <row r="13">
      <c r="A13" s="0" t="n"/>
      <c r="B13" s="49">
        <f>H13/F13</f>
        <v/>
      </c>
      <c r="C13" s="54" t="inlineStr">
        <is>
          <t>特变电工600089</t>
        </is>
      </c>
      <c r="D13" s="54" t="n"/>
      <c r="E13" s="58" t="n">
        <v>100</v>
      </c>
      <c r="F13" s="153" t="n"/>
      <c r="G13" s="154">
        <f>H13/0.75</f>
        <v/>
      </c>
      <c r="H13" s="164">
        <f>F13/R13*0.75*E13%</f>
        <v/>
      </c>
      <c r="I13" s="154">
        <f>G13*1.5</f>
        <v/>
      </c>
      <c r="J13" s="155">
        <f>F13/R13*2*E13%</f>
        <v/>
      </c>
      <c r="K13" s="78" t="n"/>
      <c r="L13" s="165">
        <f>K13/R13*(1+P13)^3*E13%</f>
        <v/>
      </c>
      <c r="M13" s="71" t="n"/>
      <c r="N13" s="78" t="n"/>
      <c r="O13" s="78" t="n"/>
      <c r="P13" s="68" t="n"/>
      <c r="Q13" s="162" t="n"/>
      <c r="R13" s="163">
        <f>Q13/(P13*100)</f>
        <v/>
      </c>
    </row>
    <row r="14">
      <c r="A14" s="0" t="n"/>
      <c r="B14" s="49">
        <f>H14/F14</f>
        <v/>
      </c>
      <c r="C14" s="54" t="n"/>
      <c r="D14" s="54" t="n"/>
      <c r="E14" s="58" t="n"/>
      <c r="F14" s="153" t="n"/>
      <c r="G14" s="154">
        <f>H14/0.75</f>
        <v/>
      </c>
      <c r="H14" s="164">
        <f>F14/R14*0.75*E14%</f>
        <v/>
      </c>
      <c r="I14" s="154">
        <f>G14*1.5</f>
        <v/>
      </c>
      <c r="J14" s="155">
        <f>F14/R14*2*E14%</f>
        <v/>
      </c>
      <c r="K14" s="78" t="n"/>
      <c r="L14" s="165">
        <f>K14/R14*(1+P14)^3*E14%</f>
        <v/>
      </c>
      <c r="M14" s="71" t="n"/>
      <c r="N14" s="78" t="n"/>
      <c r="O14" s="78" t="n"/>
      <c r="P14" s="68" t="n"/>
      <c r="Q14" s="162" t="n"/>
      <c r="R14" s="163">
        <f>Q14/(P14*100)</f>
        <v/>
      </c>
    </row>
    <row r="15">
      <c r="A15" s="0" t="n"/>
      <c r="B15" s="49">
        <f>H15/F15</f>
        <v/>
      </c>
      <c r="C15" s="50" t="n"/>
      <c r="D15" s="50" t="n"/>
      <c r="E15" s="60" t="n"/>
      <c r="F15" s="153" t="n"/>
      <c r="G15" s="154">
        <f>H15/0.75</f>
        <v/>
      </c>
      <c r="H15" s="154">
        <f>F15/R15*0.75*E15%</f>
        <v/>
      </c>
      <c r="I15" s="154">
        <f>G15*1.5</f>
        <v/>
      </c>
      <c r="J15" s="155">
        <f>F15/R15*2*E15%</f>
        <v/>
      </c>
      <c r="K15" s="62" t="n"/>
      <c r="L15" s="165">
        <f>K15/R15*(1+P15)^3*E15%</f>
        <v/>
      </c>
      <c r="M15" s="156" t="n"/>
      <c r="N15" s="62" t="n"/>
      <c r="O15" s="78" t="n"/>
      <c r="P15" s="66" t="n"/>
      <c r="Q15" s="157" t="n"/>
      <c r="R15" s="158">
        <f>Q15/(P15*100)</f>
        <v/>
      </c>
    </row>
    <row r="16">
      <c r="A16" s="0" t="n"/>
      <c r="B16" s="49">
        <f>H16/F16</f>
        <v/>
      </c>
      <c r="C16" s="78" t="n"/>
      <c r="D16" s="78" t="n"/>
      <c r="E16" s="58" t="n"/>
      <c r="F16" s="153" t="n"/>
      <c r="G16" s="154">
        <f>H16/0.75</f>
        <v/>
      </c>
      <c r="H16" s="164">
        <f>F16/R16*0.75*E16%</f>
        <v/>
      </c>
      <c r="I16" s="154">
        <f>G16*1.5</f>
        <v/>
      </c>
      <c r="J16" s="155">
        <f>F16/R16*2*E16%</f>
        <v/>
      </c>
      <c r="K16" s="78" t="n"/>
      <c r="L16" s="165">
        <f>K16/R16*(1+P16)^3*E16%</f>
        <v/>
      </c>
      <c r="M16" s="161" t="n"/>
      <c r="N16" s="78" t="n"/>
      <c r="O16" s="78" t="n"/>
      <c r="P16" s="68" t="n"/>
      <c r="Q16" s="162" t="n"/>
      <c r="R16" s="163">
        <f>Q16/(P16*100)</f>
        <v/>
      </c>
    </row>
    <row r="17">
      <c r="A17" s="0" t="n"/>
      <c r="B17" s="49">
        <f>H17/F17</f>
        <v/>
      </c>
      <c r="C17" s="54" t="n"/>
      <c r="D17" s="54" t="n"/>
      <c r="E17" s="58" t="n"/>
      <c r="F17" s="153" t="n"/>
      <c r="G17" s="154">
        <f>H17/0.75</f>
        <v/>
      </c>
      <c r="H17" s="164">
        <f>F17/R17*0.75*E17%</f>
        <v/>
      </c>
      <c r="I17" s="154">
        <f>G17*1.5</f>
        <v/>
      </c>
      <c r="J17" s="155">
        <f>F17/R17*2*E17%</f>
        <v/>
      </c>
      <c r="K17" s="78" t="n"/>
      <c r="L17" s="165">
        <f>K17/R17*(1+P17)^3*E17%</f>
        <v/>
      </c>
      <c r="M17" s="161" t="n"/>
      <c r="N17" s="78" t="n"/>
      <c r="O17" s="78" t="n"/>
      <c r="P17" s="68" t="n"/>
      <c r="Q17" s="162" t="n"/>
      <c r="R17" s="163">
        <f>Q17/(P17*100)</f>
        <v/>
      </c>
    </row>
    <row r="18">
      <c r="A18" s="0" t="n"/>
      <c r="B18" s="49">
        <f>H18/F18</f>
        <v/>
      </c>
      <c r="C18" s="78" t="n"/>
      <c r="D18" s="78" t="n"/>
      <c r="E18" s="58" t="n"/>
      <c r="F18" s="153" t="n"/>
      <c r="G18" s="159">
        <f>H18/0.75</f>
        <v/>
      </c>
      <c r="H18" s="160">
        <f>F18/R18*0.75*E18%</f>
        <v/>
      </c>
      <c r="I18" s="159">
        <f>G18*1.5</f>
        <v/>
      </c>
      <c r="J18" s="155">
        <f>F18/R18*2*E18%</f>
        <v/>
      </c>
      <c r="K18" s="78" t="n"/>
      <c r="L18" s="165">
        <f>K18/R18*(1+P18)^3*E18%</f>
        <v/>
      </c>
      <c r="M18" s="71" t="n"/>
      <c r="N18" s="78" t="n"/>
      <c r="O18" s="78" t="n"/>
      <c r="P18" s="68" t="n"/>
      <c r="Q18" s="162" t="n"/>
      <c r="R18" s="163">
        <f>Q18/(P18*100)</f>
        <v/>
      </c>
    </row>
    <row r="19">
      <c r="A19" s="0" t="n"/>
      <c r="B19" s="49">
        <f>H19/F19</f>
        <v/>
      </c>
      <c r="C19" s="54" t="n"/>
      <c r="D19" s="54" t="n"/>
      <c r="E19" s="58" t="n"/>
      <c r="F19" s="153" t="n"/>
      <c r="G19" s="159">
        <f>H19/0.75</f>
        <v/>
      </c>
      <c r="H19" s="160">
        <f>F19/R19*0.75*E19%</f>
        <v/>
      </c>
      <c r="I19" s="159">
        <f>G19*1.5</f>
        <v/>
      </c>
      <c r="J19" s="155">
        <f>F19/R19*2*E19%</f>
        <v/>
      </c>
      <c r="K19" s="78" t="n"/>
      <c r="L19" s="165">
        <f>K19/R19*(1+P19)^3*E19%</f>
        <v/>
      </c>
      <c r="M19" s="161" t="n"/>
      <c r="N19" s="78" t="n"/>
      <c r="O19" s="78" t="n"/>
      <c r="P19" s="68" t="n"/>
      <c r="Q19" s="162" t="n"/>
      <c r="R19" s="163">
        <f>Q19/(P19*100)</f>
        <v/>
      </c>
    </row>
    <row r="20">
      <c r="A20" s="0" t="n"/>
      <c r="B20" s="49">
        <f>H20/F20</f>
        <v/>
      </c>
      <c r="C20" s="54" t="n"/>
      <c r="D20" s="54" t="n"/>
      <c r="E20" s="58" t="n"/>
      <c r="F20" s="153" t="n"/>
      <c r="G20" s="159">
        <f>H20/0.75</f>
        <v/>
      </c>
      <c r="H20" s="160">
        <f>F20/R20*0.75*E20%</f>
        <v/>
      </c>
      <c r="I20" s="159">
        <f>G20*1.5</f>
        <v/>
      </c>
      <c r="J20" s="155">
        <f>F20/R20*2*E20%</f>
        <v/>
      </c>
      <c r="K20" s="78" t="n"/>
      <c r="L20" s="165">
        <f>K20/R20*(1+P20)^3*E20%</f>
        <v/>
      </c>
      <c r="M20" s="161" t="n"/>
      <c r="N20" s="78" t="n"/>
      <c r="O20" s="78" t="n"/>
      <c r="P20" s="68" t="n"/>
      <c r="Q20" s="162" t="n"/>
      <c r="R20" s="163">
        <f>Q20/(P20*100)</f>
        <v/>
      </c>
    </row>
    <row r="21">
      <c r="A21" s="0" t="n"/>
      <c r="B21" s="49">
        <f>H21/F21</f>
        <v/>
      </c>
      <c r="C21" s="54" t="n"/>
      <c r="D21" s="54" t="n"/>
      <c r="E21" s="58" t="n"/>
      <c r="F21" s="153" t="n"/>
      <c r="G21" s="159">
        <f>H21/0.75</f>
        <v/>
      </c>
      <c r="H21" s="160">
        <f>F21/R21*0.75*E21%</f>
        <v/>
      </c>
      <c r="I21" s="159">
        <f>G21*1.5</f>
        <v/>
      </c>
      <c r="J21" s="155">
        <f>F21/R21*2*E21%</f>
        <v/>
      </c>
      <c r="K21" s="78" t="n"/>
      <c r="L21" s="165">
        <f>K21/R21*(1+P21)^3*E21%</f>
        <v/>
      </c>
      <c r="M21" s="161" t="n"/>
      <c r="N21" s="78" t="n"/>
      <c r="O21" s="78" t="n"/>
      <c r="P21" s="68" t="n"/>
      <c r="Q21" s="162" t="n"/>
      <c r="R21" s="163">
        <f>Q21/(P21*100)</f>
        <v/>
      </c>
    </row>
    <row r="22">
      <c r="A22" s="0" t="n"/>
      <c r="B22" s="49">
        <f>H22/F22</f>
        <v/>
      </c>
      <c r="C22" s="54" t="n"/>
      <c r="D22" s="54" t="n"/>
      <c r="E22" s="58" t="n"/>
      <c r="F22" s="153" t="n"/>
      <c r="G22" s="154">
        <f>H22/0.75</f>
        <v/>
      </c>
      <c r="H22" s="160">
        <f>F22/R22*0.75*E22%</f>
        <v/>
      </c>
      <c r="I22" s="159">
        <f>G22*1.5</f>
        <v/>
      </c>
      <c r="J22" s="155">
        <f>F22/R22*2*E22%</f>
        <v/>
      </c>
      <c r="K22" s="78" t="n"/>
      <c r="L22" s="165">
        <f>K22/R22*(1+P22)^3*E22%</f>
        <v/>
      </c>
      <c r="M22" s="161" t="n"/>
      <c r="N22" s="78" t="n"/>
      <c r="O22" s="78" t="n"/>
      <c r="P22" s="68" t="n"/>
      <c r="Q22" s="162" t="n"/>
      <c r="R22" s="163">
        <f>Q22/(P22*100)</f>
        <v/>
      </c>
    </row>
    <row r="23">
      <c r="A23" s="0" t="n"/>
      <c r="B23" s="49">
        <f>H23/F23</f>
        <v/>
      </c>
      <c r="C23" s="54" t="n"/>
      <c r="D23" s="54" t="n"/>
      <c r="E23" s="58" t="n"/>
      <c r="F23" s="153" t="n"/>
      <c r="G23" s="154">
        <f>H23/0.75</f>
        <v/>
      </c>
      <c r="H23" s="160">
        <f>F23/R23*0.75*E23%</f>
        <v/>
      </c>
      <c r="I23" s="159">
        <f>G23*1.5</f>
        <v/>
      </c>
      <c r="J23" s="155">
        <f>F23/R23*2*E23%</f>
        <v/>
      </c>
      <c r="K23" s="78" t="n"/>
      <c r="L23" s="165">
        <f>K23/R23*(1+P23)^3*E23%</f>
        <v/>
      </c>
      <c r="M23" s="161" t="n"/>
      <c r="N23" s="78" t="n"/>
      <c r="O23" s="78" t="n"/>
      <c r="P23" s="68" t="n"/>
      <c r="Q23" s="162" t="n"/>
      <c r="R23" s="163">
        <f>Q23/(P23*100)</f>
        <v/>
      </c>
    </row>
    <row r="24">
      <c r="A24" s="0" t="n"/>
      <c r="B24" s="49">
        <f>H24/F24</f>
        <v/>
      </c>
      <c r="C24" s="54" t="n"/>
      <c r="D24" s="54" t="n"/>
      <c r="E24" s="58" t="n"/>
      <c r="F24" s="153" t="n"/>
      <c r="G24" s="154">
        <f>H24/0.75</f>
        <v/>
      </c>
      <c r="H24" s="160">
        <f>F24/R24*0.75*E24%</f>
        <v/>
      </c>
      <c r="I24" s="159">
        <f>G24*1.5</f>
        <v/>
      </c>
      <c r="J24" s="155">
        <f>F24/R24*2*E24%</f>
        <v/>
      </c>
      <c r="K24" s="78" t="n"/>
      <c r="L24" s="165">
        <f>K24/R24*(1+P24)^3*E24%</f>
        <v/>
      </c>
      <c r="M24" s="161" t="n"/>
      <c r="N24" s="78" t="n"/>
      <c r="O24" s="78" t="n"/>
      <c r="P24" s="68" t="n"/>
      <c r="Q24" s="162" t="n"/>
      <c r="R24" s="163">
        <f>Q24/(P24*100)</f>
        <v/>
      </c>
    </row>
    <row r="25">
      <c r="A25" s="0" t="n"/>
      <c r="B25" s="49">
        <f>H25/F25</f>
        <v/>
      </c>
      <c r="C25" s="78" t="n"/>
      <c r="D25" s="78" t="n"/>
      <c r="E25" s="58" t="n"/>
      <c r="F25" s="153" t="n"/>
      <c r="G25" s="154">
        <f>H25/0.75</f>
        <v/>
      </c>
      <c r="H25" s="164">
        <f>F25/R25*0.75*E25%</f>
        <v/>
      </c>
      <c r="I25" s="154">
        <f>G25*1.5</f>
        <v/>
      </c>
      <c r="J25" s="155">
        <f>F25/R25*2*E25%</f>
        <v/>
      </c>
      <c r="K25" s="78" t="n"/>
      <c r="L25" s="165">
        <f>K25/R25*(1+P25)^3*E25%</f>
        <v/>
      </c>
      <c r="M25" s="161" t="n"/>
      <c r="N25" s="78" t="n"/>
      <c r="O25" s="78" t="n"/>
      <c r="P25" s="68" t="n"/>
      <c r="Q25" s="162" t="n"/>
      <c r="R25" s="163">
        <f>Q25/(P25*100)</f>
        <v/>
      </c>
    </row>
    <row r="26" hidden="1" s="136">
      <c r="A26" s="0" t="n"/>
      <c r="B26" s="49">
        <f>H26/F26</f>
        <v/>
      </c>
      <c r="C26" s="78" t="n"/>
      <c r="D26" s="78" t="n"/>
      <c r="E26" s="58" t="n"/>
      <c r="F26" s="153" t="n"/>
      <c r="G26" s="154">
        <f>H26/0.75</f>
        <v/>
      </c>
      <c r="H26" s="164">
        <f>F26/R26*0.75*E26%</f>
        <v/>
      </c>
      <c r="I26" s="154">
        <f>G26*1.5</f>
        <v/>
      </c>
      <c r="J26" s="155">
        <f>F26/R26*2*E26%</f>
        <v/>
      </c>
      <c r="K26" s="78" t="n"/>
      <c r="L26" s="165">
        <f>K26/R26*(1+P26)^3*E26%</f>
        <v/>
      </c>
      <c r="M26" s="161" t="n"/>
      <c r="N26" s="78" t="n"/>
      <c r="O26" s="78" t="n"/>
      <c r="P26" s="68" t="n"/>
      <c r="Q26" s="162" t="n"/>
      <c r="R26" s="163">
        <f>Q26/(P26*100)</f>
        <v/>
      </c>
    </row>
    <row r="27">
      <c r="A27" s="0" t="n"/>
      <c r="B27" s="49">
        <f>H27/F27</f>
        <v/>
      </c>
      <c r="C27" s="78" t="n"/>
      <c r="D27" s="78" t="n"/>
      <c r="E27" s="58" t="n"/>
      <c r="F27" s="153" t="n"/>
      <c r="G27" s="154">
        <f>H27/0.75</f>
        <v/>
      </c>
      <c r="H27" s="164">
        <f>F27/R27*0.75*E27%</f>
        <v/>
      </c>
      <c r="I27" s="154">
        <f>G27*1.5</f>
        <v/>
      </c>
      <c r="J27" s="155">
        <f>F27/R27*2*E27%</f>
        <v/>
      </c>
      <c r="K27" s="78" t="n"/>
      <c r="L27" s="165">
        <f>K27/R27*(1+P27)^3*E27%</f>
        <v/>
      </c>
      <c r="M27" s="161" t="n"/>
      <c r="N27" s="78" t="n"/>
      <c r="O27" s="78" t="n"/>
      <c r="P27" s="68" t="n"/>
      <c r="Q27" s="162" t="n"/>
      <c r="R27" s="163">
        <f>Q27/(P27*100)</f>
        <v/>
      </c>
    </row>
    <row r="28">
      <c r="A28" s="0" t="n"/>
      <c r="B28" s="49">
        <f>H28/F28</f>
        <v/>
      </c>
      <c r="C28" s="78" t="n"/>
      <c r="D28" s="78" t="n"/>
      <c r="E28" s="58" t="n"/>
      <c r="F28" s="153" t="n"/>
      <c r="G28" s="154">
        <f>H28/0.75</f>
        <v/>
      </c>
      <c r="H28" s="164">
        <f>F28/R28*0.75*E28%</f>
        <v/>
      </c>
      <c r="I28" s="154">
        <f>G28*1.5</f>
        <v/>
      </c>
      <c r="J28" s="155">
        <f>F28/R28*2*E28%</f>
        <v/>
      </c>
      <c r="K28" s="78" t="n"/>
      <c r="L28" s="165">
        <f>K28/R28*(1+P28)^3*E28%</f>
        <v/>
      </c>
      <c r="M28" s="161" t="n"/>
      <c r="N28" s="78" t="n"/>
      <c r="O28" s="78" t="n"/>
      <c r="P28" s="68" t="n"/>
      <c r="Q28" s="162" t="n"/>
      <c r="R28" s="163">
        <f>Q28/(P28*100)</f>
        <v/>
      </c>
    </row>
    <row r="29">
      <c r="A29" s="0" t="n"/>
      <c r="B29" s="49">
        <f>H29/F29</f>
        <v/>
      </c>
      <c r="C29" s="78" t="n"/>
      <c r="D29" s="78" t="n"/>
      <c r="E29" s="58" t="n"/>
      <c r="F29" s="153" t="n"/>
      <c r="G29" s="154">
        <f>H29/0.75</f>
        <v/>
      </c>
      <c r="H29" s="164">
        <f>F29/R29*0.75*E29%</f>
        <v/>
      </c>
      <c r="I29" s="154">
        <f>G29*1.5</f>
        <v/>
      </c>
      <c r="J29" s="155">
        <f>F29/R29*2*E29%</f>
        <v/>
      </c>
      <c r="K29" s="78" t="n"/>
      <c r="L29" s="165">
        <f>K29/R29*(1+P29)^3*E29%</f>
        <v/>
      </c>
      <c r="M29" s="161" t="n"/>
      <c r="N29" s="78" t="n"/>
      <c r="O29" s="78" t="n"/>
      <c r="P29" s="68" t="n"/>
      <c r="Q29" s="162" t="n"/>
      <c r="R29" s="163">
        <f>Q29/(P29*100)</f>
        <v/>
      </c>
    </row>
    <row r="30">
      <c r="A30" s="0" t="n"/>
      <c r="B30" s="49">
        <f>H30/F30</f>
        <v/>
      </c>
      <c r="C30" s="78" t="n"/>
      <c r="D30" s="78" t="n"/>
      <c r="E30" s="58" t="n"/>
      <c r="F30" s="153" t="n"/>
      <c r="G30" s="154">
        <f>H30/0.75</f>
        <v/>
      </c>
      <c r="H30" s="164">
        <f>F30/R30*0.75*E30%</f>
        <v/>
      </c>
      <c r="I30" s="154">
        <f>G30*1.5</f>
        <v/>
      </c>
      <c r="J30" s="155">
        <f>F30/R30*2*E30%</f>
        <v/>
      </c>
      <c r="K30" s="78" t="n"/>
      <c r="L30" s="165">
        <f>K30/R30*(1+P30)^3*E30%</f>
        <v/>
      </c>
      <c r="M30" s="161" t="n"/>
      <c r="N30" s="78" t="n"/>
      <c r="O30" s="78" t="n"/>
      <c r="P30" s="68" t="n"/>
      <c r="Q30" s="162" t="n"/>
      <c r="R30" s="163">
        <f>Q30/(P30*100)</f>
        <v/>
      </c>
    </row>
    <row r="31">
      <c r="A31" s="0" t="n"/>
      <c r="B31" s="49">
        <f>H31/F31</f>
        <v/>
      </c>
      <c r="C31" s="78" t="n"/>
      <c r="D31" s="78" t="n"/>
      <c r="E31" s="58" t="n"/>
      <c r="F31" s="153" t="n"/>
      <c r="G31" s="154">
        <f>H31/0.75</f>
        <v/>
      </c>
      <c r="H31" s="164">
        <f>F31/R31*0.75*E31%</f>
        <v/>
      </c>
      <c r="I31" s="154">
        <f>G31*1.5</f>
        <v/>
      </c>
      <c r="J31" s="155">
        <f>F31/R31*2*E31%</f>
        <v/>
      </c>
      <c r="K31" s="78" t="n"/>
      <c r="L31" s="165">
        <f>K31/R31*(1+P31)^3*E31%</f>
        <v/>
      </c>
      <c r="M31" s="161" t="n"/>
      <c r="N31" s="78" t="n"/>
      <c r="O31" s="78" t="n"/>
      <c r="P31" s="68" t="n"/>
      <c r="Q31" s="162" t="n"/>
      <c r="R31" s="163">
        <f>Q31/(P31*100)</f>
        <v/>
      </c>
    </row>
    <row r="32">
      <c r="A32" s="0" t="n"/>
      <c r="B32" s="49">
        <f>H32/F32</f>
        <v/>
      </c>
      <c r="C32" s="78" t="n"/>
      <c r="D32" s="78" t="n"/>
      <c r="E32" s="58" t="n"/>
      <c r="F32" s="153" t="n"/>
      <c r="G32" s="159">
        <f>H32/0.75</f>
        <v/>
      </c>
      <c r="H32" s="160">
        <f>F32/R32*0.75*E32%</f>
        <v/>
      </c>
      <c r="I32" s="159">
        <f>G32*1.5</f>
        <v/>
      </c>
      <c r="J32" s="155">
        <f>F32/R32*2*E32%</f>
        <v/>
      </c>
      <c r="K32" s="78" t="n"/>
      <c r="L32" s="165">
        <f>K32/R32*(1+P32)^3*E32%</f>
        <v/>
      </c>
      <c r="M32" s="161" t="n"/>
      <c r="N32" s="78" t="n"/>
      <c r="O32" s="78" t="n"/>
      <c r="P32" s="68" t="n"/>
      <c r="Q32" s="162" t="n"/>
      <c r="R32" s="163">
        <f>Q32/(P32*100)</f>
        <v/>
      </c>
    </row>
    <row r="33">
      <c r="A33" s="0" t="n"/>
      <c r="B33" s="49">
        <f>H33/F33</f>
        <v/>
      </c>
      <c r="C33" s="50" t="n"/>
      <c r="D33" s="54" t="n"/>
      <c r="E33" s="55" t="n"/>
      <c r="F33" s="153" t="n"/>
      <c r="G33" s="154">
        <f>H33/0.75</f>
        <v/>
      </c>
      <c r="H33" s="164">
        <f>F33/R33*0.75*E33%</f>
        <v/>
      </c>
      <c r="I33" s="154">
        <f>G33*1.5</f>
        <v/>
      </c>
      <c r="J33" s="155">
        <f>F33/R33*2*E33%</f>
        <v/>
      </c>
      <c r="K33" s="78" t="n"/>
      <c r="L33" s="165">
        <f>K33/R33*(1+P33)^3*E33%</f>
        <v/>
      </c>
      <c r="M33" s="71" t="n"/>
      <c r="N33" s="78" t="n"/>
      <c r="O33" s="78" t="n"/>
      <c r="P33" s="68" t="n"/>
      <c r="Q33" s="162" t="n"/>
      <c r="R33" s="163">
        <f>Q33/(P33*100)</f>
        <v/>
      </c>
    </row>
    <row r="34">
      <c r="A34" s="0" t="n"/>
      <c r="B34" s="49">
        <f>H34/F34</f>
        <v/>
      </c>
      <c r="C34" s="54" t="n"/>
      <c r="D34" s="54" t="n"/>
      <c r="E34" s="55" t="n"/>
      <c r="F34" s="153" t="n"/>
      <c r="G34" s="154">
        <f>H34/0.75</f>
        <v/>
      </c>
      <c r="H34" s="164">
        <f>F34/R34*0.75*E34%</f>
        <v/>
      </c>
      <c r="I34" s="154">
        <f>G34*1.5</f>
        <v/>
      </c>
      <c r="J34" s="155">
        <f>F34/R34*2*E34%</f>
        <v/>
      </c>
      <c r="K34" s="78" t="n"/>
      <c r="L34" s="165">
        <f>K34/R34*(1+P34)^3*E34%</f>
        <v/>
      </c>
      <c r="M34" s="71" t="n"/>
      <c r="N34" s="78" t="n"/>
      <c r="O34" s="78" t="n"/>
      <c r="P34" s="68" t="n"/>
      <c r="Q34" s="162" t="n"/>
      <c r="R34" s="163">
        <f>Q34/(P34*100)</f>
        <v/>
      </c>
    </row>
    <row r="35">
      <c r="A35" s="0" t="n"/>
      <c r="B35" s="49">
        <f>H35/F35</f>
        <v/>
      </c>
      <c r="C35" s="54" t="n"/>
      <c r="D35" s="54" t="n"/>
      <c r="E35" s="55" t="n"/>
      <c r="F35" s="153" t="n"/>
      <c r="G35" s="159">
        <f>H35/0.75</f>
        <v/>
      </c>
      <c r="H35" s="160">
        <f>F35/R35*0.75*E35%</f>
        <v/>
      </c>
      <c r="I35" s="159">
        <f>G35*1.5</f>
        <v/>
      </c>
      <c r="J35" s="155">
        <f>F35/R35*2*E35%</f>
        <v/>
      </c>
      <c r="K35" s="78" t="n"/>
      <c r="L35" s="165">
        <f>K35/R35*(1+P35)^3*E35%</f>
        <v/>
      </c>
      <c r="M35" s="161" t="n"/>
      <c r="N35" s="78" t="n"/>
      <c r="O35" s="78" t="n"/>
      <c r="P35" s="68" t="n"/>
      <c r="Q35" s="162" t="n"/>
      <c r="R35" s="163">
        <f>Q35/(P35*100)</f>
        <v/>
      </c>
    </row>
    <row r="36">
      <c r="A36" s="0" t="n"/>
      <c r="B36" s="49">
        <f>H36/F36</f>
        <v/>
      </c>
      <c r="C36" s="54" t="n"/>
      <c r="D36" s="54" t="n"/>
      <c r="E36" s="55" t="n"/>
      <c r="F36" s="153" t="n"/>
      <c r="G36" s="154">
        <f>H36/0.75</f>
        <v/>
      </c>
      <c r="H36" s="164">
        <f>F36/R36*0.75*E36%</f>
        <v/>
      </c>
      <c r="I36" s="154">
        <f>G36*1.5</f>
        <v/>
      </c>
      <c r="J36" s="155">
        <f>F36/R36*2*E36%</f>
        <v/>
      </c>
      <c r="K36" s="78" t="n"/>
      <c r="L36" s="165">
        <f>K36/R36*(1+P36)^3*E36%</f>
        <v/>
      </c>
      <c r="M36" s="161" t="n"/>
      <c r="N36" s="78" t="n"/>
      <c r="O36" s="78" t="n"/>
      <c r="P36" s="68" t="n"/>
      <c r="Q36" s="162" t="n"/>
      <c r="R36" s="163">
        <f>Q36/(P36*100)</f>
        <v/>
      </c>
    </row>
    <row r="37" ht="14.65" customHeight="1" s="136">
      <c r="A37" s="0" t="n"/>
      <c r="B37" s="49">
        <f>H37/F37</f>
        <v/>
      </c>
      <c r="C37" s="62" t="n"/>
      <c r="D37" s="78" t="n"/>
      <c r="E37" s="58" t="n"/>
      <c r="F37" s="153" t="n"/>
      <c r="G37" s="154">
        <f>H37/0.75</f>
        <v/>
      </c>
      <c r="H37" s="164">
        <f>F37/R37*0.75*E37%</f>
        <v/>
      </c>
      <c r="I37" s="154">
        <f>G37*1.5</f>
        <v/>
      </c>
      <c r="J37" s="155">
        <f>F37/R37*2*E37%</f>
        <v/>
      </c>
      <c r="K37" s="78" t="n"/>
      <c r="L37" s="165">
        <f>K37/R37*(1+P37)^3*E37%</f>
        <v/>
      </c>
      <c r="M37" s="161" t="n"/>
      <c r="N37" s="78" t="n"/>
      <c r="O37" s="78" t="n"/>
      <c r="P37" s="68" t="n"/>
      <c r="Q37" s="162" t="n"/>
      <c r="R37" s="163">
        <f>Q37/(P37*100)</f>
        <v/>
      </c>
    </row>
    <row r="38">
      <c r="A38" s="0" t="n"/>
      <c r="B38" s="49">
        <f>H38/F38</f>
        <v/>
      </c>
      <c r="C38" s="78" t="n"/>
      <c r="D38" s="78" t="n"/>
      <c r="E38" s="58" t="n"/>
      <c r="F38" s="153" t="n"/>
      <c r="G38" s="154">
        <f>H38/0.75</f>
        <v/>
      </c>
      <c r="H38" s="164">
        <f>F38/R38*0.75*E38%</f>
        <v/>
      </c>
      <c r="I38" s="154">
        <f>G38*1.5</f>
        <v/>
      </c>
      <c r="J38" s="155">
        <f>F38/R38*2*E38%</f>
        <v/>
      </c>
      <c r="K38" s="78" t="n"/>
      <c r="L38" s="165">
        <f>K38/R38*(1+P38)^3*E38%</f>
        <v/>
      </c>
      <c r="M38" s="161" t="n"/>
      <c r="N38" s="78" t="n"/>
      <c r="O38" s="78" t="n"/>
      <c r="P38" s="68" t="n"/>
      <c r="Q38" s="162" t="n"/>
      <c r="R38" s="163">
        <f>Q38/(P38*100)</f>
        <v/>
      </c>
    </row>
    <row r="39">
      <c r="A39" s="0" t="n"/>
      <c r="B39" s="49">
        <f>H39/F39</f>
        <v/>
      </c>
      <c r="C39" s="78" t="n"/>
      <c r="D39" s="78" t="n"/>
      <c r="E39" s="58" t="n"/>
      <c r="F39" s="153" t="n"/>
      <c r="G39" s="154">
        <f>H39/0.75</f>
        <v/>
      </c>
      <c r="H39" s="164">
        <f>F39/R39*0.75*E39%</f>
        <v/>
      </c>
      <c r="I39" s="154">
        <f>G39*1.5</f>
        <v/>
      </c>
      <c r="J39" s="155">
        <f>F39/R39*2*E39%</f>
        <v/>
      </c>
      <c r="K39" s="78" t="n"/>
      <c r="L39" s="165">
        <f>K39/R39*(1+P39)^3*E39%</f>
        <v/>
      </c>
      <c r="M39" s="161" t="n"/>
      <c r="N39" s="78" t="n"/>
      <c r="O39" s="78" t="n"/>
      <c r="P39" s="68" t="n"/>
      <c r="Q39" s="162" t="n"/>
      <c r="R39" s="163">
        <f>Q39/(P39*100)</f>
        <v/>
      </c>
    </row>
    <row r="40">
      <c r="A40" s="0" t="n"/>
      <c r="B40" s="49">
        <f>H40/F40</f>
        <v/>
      </c>
      <c r="C40" s="62" t="n"/>
      <c r="D40" s="54" t="n"/>
      <c r="E40" s="55" t="n"/>
      <c r="F40" s="153" t="n"/>
      <c r="G40" s="154">
        <f>H40/0.75</f>
        <v/>
      </c>
      <c r="H40" s="164">
        <f>F40/R40*0.75*E40%</f>
        <v/>
      </c>
      <c r="I40" s="154">
        <f>G40*1.5</f>
        <v/>
      </c>
      <c r="J40" s="155">
        <f>F40/R40*2*E40%</f>
        <v/>
      </c>
      <c r="K40" s="78" t="n"/>
      <c r="L40" s="165">
        <f>K40/R40*(1+P40)^3*E40%</f>
        <v/>
      </c>
      <c r="M40" s="161" t="n"/>
      <c r="N40" s="78" t="n"/>
      <c r="O40" s="78" t="n"/>
      <c r="P40" s="68" t="n"/>
      <c r="Q40" s="162" t="n"/>
      <c r="R40" s="163">
        <f>Q40/(P40*100)</f>
        <v/>
      </c>
    </row>
    <row r="41">
      <c r="A41" s="0" t="n"/>
      <c r="B41" s="49">
        <f>H41/F41</f>
        <v/>
      </c>
      <c r="C41" s="62" t="n"/>
      <c r="D41" s="54" t="n"/>
      <c r="E41" s="55" t="n"/>
      <c r="F41" s="153" t="n"/>
      <c r="G41" s="154">
        <f>H41/0.75</f>
        <v/>
      </c>
      <c r="H41" s="164">
        <f>F41/R41*0.75*E41%</f>
        <v/>
      </c>
      <c r="I41" s="154">
        <f>G41*1.5</f>
        <v/>
      </c>
      <c r="J41" s="155">
        <f>F41/R41*2*E41%</f>
        <v/>
      </c>
      <c r="K41" s="78" t="n"/>
      <c r="L41" s="165">
        <f>K41/R41*(1+P41)^3*E41%</f>
        <v/>
      </c>
      <c r="M41" s="161" t="n"/>
      <c r="N41" s="78" t="n"/>
      <c r="O41" s="78" t="n"/>
      <c r="P41" s="68" t="n"/>
      <c r="Q41" s="162" t="n"/>
      <c r="R41" s="163">
        <f>Q41/(P41*100)</f>
        <v/>
      </c>
    </row>
    <row r="42">
      <c r="A42" s="0" t="n"/>
      <c r="B42" s="49">
        <f>H42/F42</f>
        <v/>
      </c>
      <c r="C42" s="78" t="n"/>
      <c r="D42" s="78" t="n"/>
      <c r="E42" s="55" t="n"/>
      <c r="F42" s="153" t="n"/>
      <c r="G42" s="159">
        <f>H42/0.75</f>
        <v/>
      </c>
      <c r="H42" s="160">
        <f>F42/R42*0.75*E42%</f>
        <v/>
      </c>
      <c r="I42" s="159">
        <f>G42*1.5</f>
        <v/>
      </c>
      <c r="J42" s="155">
        <f>F42/R42*2*E42%</f>
        <v/>
      </c>
      <c r="K42" s="78" t="n"/>
      <c r="L42" s="165">
        <f>K42/R42*(1+P42)^3*E42%</f>
        <v/>
      </c>
      <c r="M42" s="161" t="n"/>
      <c r="N42" s="78" t="n"/>
      <c r="O42" s="78" t="n"/>
      <c r="P42" s="68" t="n"/>
      <c r="Q42" s="162" t="n"/>
      <c r="R42" s="163">
        <f>Q42/(P42*100)</f>
        <v/>
      </c>
    </row>
    <row r="43">
      <c r="A43" s="0" t="n"/>
      <c r="B43" s="49">
        <f>H43/F43</f>
        <v/>
      </c>
      <c r="C43" s="78" t="n"/>
      <c r="D43" s="78" t="n"/>
      <c r="E43" s="55" t="n"/>
      <c r="F43" s="153" t="n"/>
      <c r="G43" s="159">
        <f>H43/0.75</f>
        <v/>
      </c>
      <c r="H43" s="160">
        <f>F43/R43*0.75*E43%</f>
        <v/>
      </c>
      <c r="I43" s="159">
        <f>G43*1.5</f>
        <v/>
      </c>
      <c r="J43" s="155">
        <f>F43/R43*2*E43%</f>
        <v/>
      </c>
      <c r="K43" s="78" t="n"/>
      <c r="L43" s="165">
        <f>K43/R43*(1+P43)^3*E43%</f>
        <v/>
      </c>
      <c r="M43" s="161" t="n"/>
      <c r="N43" s="78" t="n"/>
      <c r="O43" s="78" t="n"/>
      <c r="P43" s="68" t="n"/>
      <c r="Q43" s="162" t="n"/>
      <c r="R43" s="163">
        <f>Q43/(P43*100)</f>
        <v/>
      </c>
    </row>
    <row r="44">
      <c r="A44" s="0" t="n"/>
      <c r="B44" s="49">
        <f>H44/F44</f>
        <v/>
      </c>
      <c r="C44" s="78" t="n"/>
      <c r="D44" s="78" t="n"/>
      <c r="E44" s="55" t="n"/>
      <c r="F44" s="153" t="n"/>
      <c r="G44" s="154">
        <f>H44/0.75</f>
        <v/>
      </c>
      <c r="H44" s="164">
        <f>F44/R44*0.75*E44%</f>
        <v/>
      </c>
      <c r="I44" s="154">
        <f>G44*1.5</f>
        <v/>
      </c>
      <c r="J44" s="155">
        <f>F44/R44*2*E44%</f>
        <v/>
      </c>
      <c r="K44" s="78" t="n"/>
      <c r="L44" s="165">
        <f>K44/R44*(1+P44)^3*E44%</f>
        <v/>
      </c>
      <c r="M44" s="161" t="n"/>
      <c r="N44" s="78" t="n"/>
      <c r="O44" s="78" t="n"/>
      <c r="P44" s="68" t="n"/>
      <c r="Q44" s="162" t="n"/>
      <c r="R44" s="163">
        <f>Q44/(P44*100)</f>
        <v/>
      </c>
    </row>
    <row r="45">
      <c r="A45" s="0" t="n"/>
      <c r="B45" s="49">
        <f>H45/F45</f>
        <v/>
      </c>
      <c r="C45" s="78" t="n"/>
      <c r="D45" s="78" t="n"/>
      <c r="E45" s="55" t="n"/>
      <c r="F45" s="153" t="n"/>
      <c r="G45" s="154">
        <f>H45/0.75</f>
        <v/>
      </c>
      <c r="H45" s="164">
        <f>F45/R45*0.75*E45%</f>
        <v/>
      </c>
      <c r="I45" s="154">
        <f>G45*1.5</f>
        <v/>
      </c>
      <c r="J45" s="155">
        <f>F45/R45*2*E45%</f>
        <v/>
      </c>
      <c r="K45" s="78" t="n"/>
      <c r="L45" s="165">
        <f>K45/R45*(1+P45)^3*E45%</f>
        <v/>
      </c>
      <c r="M45" s="161" t="n"/>
      <c r="N45" s="78" t="n"/>
      <c r="O45" s="78" t="n"/>
      <c r="P45" s="68" t="n"/>
      <c r="Q45" s="162" t="n"/>
      <c r="R45" s="163">
        <f>Q45/(P45*100)</f>
        <v/>
      </c>
    </row>
    <row r="46">
      <c r="A46" s="0" t="n"/>
      <c r="B46" s="49">
        <f>H46/F46</f>
        <v/>
      </c>
      <c r="C46" s="54" t="n"/>
      <c r="D46" s="54" t="n"/>
      <c r="E46" s="55" t="n"/>
      <c r="F46" s="153" t="n"/>
      <c r="G46" s="154">
        <f>H46/0.75</f>
        <v/>
      </c>
      <c r="H46" s="164">
        <f>F46/R46*0.75*E46%</f>
        <v/>
      </c>
      <c r="I46" s="154">
        <f>G46*1.5</f>
        <v/>
      </c>
      <c r="J46" s="155">
        <f>F46/R46*2*E46%</f>
        <v/>
      </c>
      <c r="K46" s="78" t="n"/>
      <c r="L46" s="165">
        <f>K46/R46*(1+P46)^3*E46%</f>
        <v/>
      </c>
      <c r="M46" s="161" t="n"/>
      <c r="N46" s="78" t="n"/>
      <c r="O46" s="78" t="n"/>
      <c r="P46" s="68" t="n"/>
      <c r="Q46" s="162" t="n"/>
      <c r="R46" s="163">
        <f>Q46/(P46*100)</f>
        <v/>
      </c>
    </row>
    <row r="47">
      <c r="A47" s="0" t="n"/>
      <c r="B47" s="49">
        <f>H47/F47</f>
        <v/>
      </c>
      <c r="C47" s="54" t="n"/>
      <c r="D47" s="54" t="n"/>
      <c r="E47" s="55" t="n"/>
      <c r="F47" s="153" t="n"/>
      <c r="G47" s="154">
        <f>H47/0.75</f>
        <v/>
      </c>
      <c r="H47" s="164">
        <f>F47/R47*0.75*E47%</f>
        <v/>
      </c>
      <c r="I47" s="154">
        <f>G47*1.5</f>
        <v/>
      </c>
      <c r="J47" s="155">
        <f>F47/R47*2*E47%</f>
        <v/>
      </c>
      <c r="K47" s="78" t="n"/>
      <c r="L47" s="165">
        <f>K47/R47*(1+P47)^3*E47%</f>
        <v/>
      </c>
      <c r="M47" s="161" t="n"/>
      <c r="N47" s="78" t="n"/>
      <c r="O47" s="78" t="n"/>
      <c r="P47" s="68" t="n"/>
      <c r="Q47" s="162" t="n"/>
      <c r="R47" s="163">
        <f>Q47/(P47*100)</f>
        <v/>
      </c>
    </row>
    <row r="48">
      <c r="A48" s="0" t="n"/>
      <c r="B48" s="49">
        <f>H48/F48</f>
        <v/>
      </c>
      <c r="C48" s="54" t="n"/>
      <c r="D48" s="54" t="n"/>
      <c r="E48" s="55" t="n"/>
      <c r="F48" s="153" t="n"/>
      <c r="G48" s="154">
        <f>H48/0.75</f>
        <v/>
      </c>
      <c r="H48" s="164">
        <f>F48/R48*0.75*E48%</f>
        <v/>
      </c>
      <c r="I48" s="154">
        <f>G48*1.5</f>
        <v/>
      </c>
      <c r="J48" s="155">
        <f>F48/R48*2*E48%</f>
        <v/>
      </c>
      <c r="K48" s="78" t="n"/>
      <c r="L48" s="165">
        <f>K48/R48*(1+P48)^3*E48%</f>
        <v/>
      </c>
      <c r="M48" s="161" t="n"/>
      <c r="N48" s="78" t="n"/>
      <c r="O48" s="78" t="n"/>
      <c r="P48" s="68" t="n"/>
      <c r="Q48" s="162" t="n"/>
      <c r="R48" s="163">
        <f>Q48/(P48*100)</f>
        <v/>
      </c>
    </row>
    <row r="49" ht="12" customHeight="1" s="136">
      <c r="A49" s="0" t="n"/>
      <c r="B49" s="49">
        <f>H49/F49</f>
        <v/>
      </c>
      <c r="C49" s="54" t="n"/>
      <c r="D49" s="54" t="n"/>
      <c r="E49" s="55" t="n"/>
      <c r="F49" s="153" t="n"/>
      <c r="G49" s="154">
        <f>H49/0.75</f>
        <v/>
      </c>
      <c r="H49" s="164">
        <f>F49/R49*0.75*E49%</f>
        <v/>
      </c>
      <c r="I49" s="154">
        <f>G49*1.5</f>
        <v/>
      </c>
      <c r="J49" s="155">
        <f>F49/R49*2*E49%</f>
        <v/>
      </c>
      <c r="K49" s="78" t="n"/>
      <c r="L49" s="165">
        <f>K49/R49*(1+P49)^3*E49%</f>
        <v/>
      </c>
      <c r="M49" s="161" t="n"/>
      <c r="N49" s="78" t="n"/>
      <c r="O49" s="78" t="n"/>
      <c r="P49" s="68" t="n"/>
      <c r="Q49" s="162" t="n"/>
      <c r="R49" s="163">
        <f>Q49/(P49*100)</f>
        <v/>
      </c>
    </row>
    <row r="50">
      <c r="A50" s="0" t="n"/>
      <c r="B50" s="49">
        <f>H50/F50</f>
        <v/>
      </c>
      <c r="C50" s="54" t="n"/>
      <c r="D50" s="54" t="n"/>
      <c r="E50" s="55" t="n"/>
      <c r="F50" s="153" t="n"/>
      <c r="G50" s="154">
        <f>H50/0.75</f>
        <v/>
      </c>
      <c r="H50" s="164">
        <f>F50/R50*0.75*E50%</f>
        <v/>
      </c>
      <c r="I50" s="154">
        <f>G50*1.5</f>
        <v/>
      </c>
      <c r="J50" s="155">
        <f>F50/R50*2*E50%</f>
        <v/>
      </c>
      <c r="K50" s="78" t="n"/>
      <c r="L50" s="165">
        <f>K50/R50*(1+P50)^3*E50%</f>
        <v/>
      </c>
      <c r="M50" s="161" t="n"/>
      <c r="N50" s="78" t="n"/>
      <c r="O50" s="78" t="n"/>
      <c r="P50" s="68" t="n"/>
      <c r="Q50" s="162" t="n"/>
      <c r="R50" s="163">
        <f>Q50/(P50*100)</f>
        <v/>
      </c>
    </row>
    <row r="51">
      <c r="A51" s="0" t="n"/>
      <c r="B51" s="49">
        <f>H51/F51</f>
        <v/>
      </c>
      <c r="C51" s="54" t="n"/>
      <c r="D51" s="54" t="n"/>
      <c r="E51" s="55" t="n"/>
      <c r="F51" s="153" t="n"/>
      <c r="G51" s="154">
        <f>H51/0.75</f>
        <v/>
      </c>
      <c r="H51" s="164">
        <f>F51/R51*0.75*E51%</f>
        <v/>
      </c>
      <c r="I51" s="154">
        <f>G51*1.5</f>
        <v/>
      </c>
      <c r="J51" s="155">
        <f>F51/R51*2*E51%</f>
        <v/>
      </c>
      <c r="K51" s="78" t="n"/>
      <c r="L51" s="165">
        <f>K51/R51*(1+P51)^3*E51%</f>
        <v/>
      </c>
      <c r="M51" s="161" t="n"/>
      <c r="N51" s="78" t="n"/>
      <c r="O51" s="78" t="n"/>
      <c r="P51" s="68" t="n"/>
      <c r="Q51" s="162" t="n"/>
      <c r="R51" s="163">
        <f>Q51/(P51*100)</f>
        <v/>
      </c>
    </row>
    <row r="52">
      <c r="A52" s="0" t="n"/>
      <c r="B52" s="49">
        <f>H52/F52</f>
        <v/>
      </c>
      <c r="C52" s="62" t="n"/>
      <c r="D52" s="78" t="n"/>
      <c r="E52" s="55" t="n"/>
      <c r="F52" s="153" t="n"/>
      <c r="G52" s="154">
        <f>H52/0.75</f>
        <v/>
      </c>
      <c r="H52" s="164">
        <f>F52/R52*0.75*E52%</f>
        <v/>
      </c>
      <c r="I52" s="154">
        <f>G52*1.5</f>
        <v/>
      </c>
      <c r="J52" s="155">
        <f>F52/R52*2*E52%</f>
        <v/>
      </c>
      <c r="K52" s="78" t="n"/>
      <c r="L52" s="165">
        <f>K52/R52*(1+P52)^3*E52%</f>
        <v/>
      </c>
      <c r="M52" s="161" t="n"/>
      <c r="N52" s="78" t="n"/>
      <c r="O52" s="78" t="n"/>
      <c r="P52" s="68" t="n"/>
      <c r="Q52" s="162" t="n"/>
      <c r="R52" s="163">
        <f>Q52/(P52*100)</f>
        <v/>
      </c>
    </row>
    <row r="53">
      <c r="A53" s="0" t="n"/>
      <c r="B53" s="49">
        <f>H53/F53</f>
        <v/>
      </c>
      <c r="C53" s="78" t="n"/>
      <c r="D53" s="78" t="n"/>
      <c r="E53" s="55" t="n"/>
      <c r="F53" s="153" t="n"/>
      <c r="G53" s="154">
        <f>H53/0.75</f>
        <v/>
      </c>
      <c r="H53" s="164">
        <f>F53/R53*0.75*E53%</f>
        <v/>
      </c>
      <c r="I53" s="154">
        <f>G53*1.5</f>
        <v/>
      </c>
      <c r="J53" s="155">
        <f>F53/R53*2*E53%</f>
        <v/>
      </c>
      <c r="K53" s="78" t="n"/>
      <c r="L53" s="165">
        <f>K53/R53*(1+P53)^3*E53%</f>
        <v/>
      </c>
      <c r="M53" s="161" t="n"/>
      <c r="N53" s="78" t="n"/>
      <c r="O53" s="78" t="n"/>
      <c r="P53" s="68" t="n"/>
      <c r="Q53" s="162" t="n"/>
      <c r="R53" s="163">
        <f>Q53/(P53*100)</f>
        <v/>
      </c>
    </row>
    <row r="54">
      <c r="A54" s="0" t="n"/>
      <c r="B54" s="49">
        <f>H54/F54</f>
        <v/>
      </c>
      <c r="C54" s="62" t="n"/>
      <c r="D54" s="78" t="n"/>
      <c r="E54" s="58" t="n"/>
      <c r="F54" s="153" t="n"/>
      <c r="G54" s="154">
        <f>H54/0.75</f>
        <v/>
      </c>
      <c r="H54" s="164">
        <f>F54/R54*0.75*E54%</f>
        <v/>
      </c>
      <c r="I54" s="154">
        <f>G54*1.5</f>
        <v/>
      </c>
      <c r="J54" s="155">
        <f>F54/R54*2*E54%</f>
        <v/>
      </c>
      <c r="K54" s="78" t="n"/>
      <c r="L54" s="165">
        <f>K54/R54*(1+P54)^3*E54%</f>
        <v/>
      </c>
      <c r="M54" s="161" t="n"/>
      <c r="N54" s="78" t="n"/>
      <c r="O54" s="78" t="n"/>
      <c r="P54" s="68" t="n"/>
      <c r="Q54" s="162" t="n"/>
      <c r="R54" s="163">
        <f>Q54/(P54*100)</f>
        <v/>
      </c>
    </row>
    <row r="55">
      <c r="B55" s="49">
        <f>H55/F55</f>
        <v/>
      </c>
      <c r="C55" s="78" t="n"/>
      <c r="D55" s="78" t="n"/>
      <c r="E55" s="55" t="n"/>
      <c r="F55" s="153" t="n"/>
      <c r="G55" s="154">
        <f>H55/0.75</f>
        <v/>
      </c>
      <c r="H55" s="164">
        <f>F55/R55*0.75*E55%</f>
        <v/>
      </c>
      <c r="I55" s="154">
        <f>G55*1.5</f>
        <v/>
      </c>
      <c r="J55" s="155">
        <f>F55/R55*2*E55%</f>
        <v/>
      </c>
      <c r="K55" s="78" t="n"/>
      <c r="L55" s="165">
        <f>K55/R55*(1+P55)^3*E55%</f>
        <v/>
      </c>
      <c r="M55" s="161" t="n"/>
      <c r="N55" s="78" t="n"/>
      <c r="O55" s="78" t="n"/>
      <c r="P55" s="68" t="n"/>
      <c r="Q55" s="162" t="n"/>
      <c r="R55" s="163">
        <f>Q55/(P55*100)</f>
        <v/>
      </c>
    </row>
    <row r="56">
      <c r="B56" s="49">
        <f>H56/F56</f>
        <v/>
      </c>
      <c r="C56" s="78" t="n"/>
      <c r="D56" s="78" t="n"/>
      <c r="E56" s="55" t="n"/>
      <c r="F56" s="153" t="n"/>
      <c r="G56" s="154">
        <f>H56/0.75</f>
        <v/>
      </c>
      <c r="H56" s="164">
        <f>F56/R56*0.75*E56%</f>
        <v/>
      </c>
      <c r="I56" s="154">
        <f>G56*1.5</f>
        <v/>
      </c>
      <c r="J56" s="155">
        <f>F56/R56*2*E56%</f>
        <v/>
      </c>
      <c r="K56" s="78" t="n"/>
      <c r="L56" s="165" t="n">
        <v>283</v>
      </c>
      <c r="M56" s="161" t="n"/>
      <c r="N56" s="78" t="n"/>
      <c r="O56" s="78" t="n"/>
      <c r="P56" s="68" t="n"/>
      <c r="Q56" s="162" t="n"/>
      <c r="R56" s="163">
        <f>Q56/(P56*100)</f>
        <v/>
      </c>
    </row>
    <row r="57">
      <c r="B57" s="49">
        <f>H57/F57</f>
        <v/>
      </c>
      <c r="C57" s="78" t="n"/>
      <c r="D57" s="78" t="n"/>
      <c r="E57" s="55" t="n"/>
      <c r="F57" s="153" t="n"/>
      <c r="G57" s="154">
        <f>H57/0.75</f>
        <v/>
      </c>
      <c r="H57" s="164">
        <f>F57/R57*0.75*E57%</f>
        <v/>
      </c>
      <c r="I57" s="154">
        <f>G57*1.5</f>
        <v/>
      </c>
      <c r="J57" s="155">
        <f>F57/R57*2*E57%</f>
        <v/>
      </c>
      <c r="K57" s="78" t="n"/>
      <c r="L57" s="165">
        <f>K57/R57*(1+P57)^3*E57%</f>
        <v/>
      </c>
      <c r="M57" s="161" t="n"/>
      <c r="N57" s="78" t="n"/>
      <c r="O57" s="78" t="n"/>
      <c r="P57" s="166" t="n"/>
      <c r="Q57" s="162" t="n"/>
      <c r="R57" s="163">
        <f>Q57/(P57*100)</f>
        <v/>
      </c>
    </row>
    <row r="58">
      <c r="B58" s="49">
        <f>H58/F58</f>
        <v/>
      </c>
      <c r="C58" s="78" t="n"/>
      <c r="D58" s="78" t="n"/>
      <c r="E58" s="55" t="n"/>
      <c r="F58" s="153" t="n"/>
      <c r="G58" s="154">
        <f>H58/0.75</f>
        <v/>
      </c>
      <c r="H58" s="164">
        <f>F58/R58*0.75*E58%</f>
        <v/>
      </c>
      <c r="I58" s="154">
        <f>G58*1.5</f>
        <v/>
      </c>
      <c r="J58" s="155">
        <f>F58/R58*2*E58%</f>
        <v/>
      </c>
      <c r="K58" s="78" t="n"/>
      <c r="L58" s="165">
        <f>K58/R58*(1+P58)^3*E58%</f>
        <v/>
      </c>
      <c r="M58" s="161" t="n"/>
      <c r="N58" s="78" t="n"/>
      <c r="O58" s="78" t="n"/>
      <c r="P58" s="166" t="n"/>
      <c r="Q58" s="162" t="n"/>
      <c r="R58" s="163">
        <f>Q58/(P58*100)</f>
        <v/>
      </c>
    </row>
    <row r="59">
      <c r="B59" s="49">
        <f>H59/F59</f>
        <v/>
      </c>
      <c r="C59" s="78" t="n"/>
      <c r="D59" s="78" t="n"/>
      <c r="E59" s="55" t="n"/>
      <c r="F59" s="153" t="n"/>
      <c r="G59" s="154">
        <f>H59/0.75</f>
        <v/>
      </c>
      <c r="H59" s="164">
        <f>F59/R59*0.75*E59%</f>
        <v/>
      </c>
      <c r="I59" s="154">
        <f>G59*1.5</f>
        <v/>
      </c>
      <c r="J59" s="155">
        <f>F59/R59*2*E59%</f>
        <v/>
      </c>
      <c r="K59" s="78" t="n"/>
      <c r="L59" s="165">
        <f>K59/R59*(1+P59)^3*E59%</f>
        <v/>
      </c>
      <c r="M59" s="161" t="n"/>
      <c r="N59" s="78" t="n"/>
      <c r="O59" s="78" t="n"/>
      <c r="P59" s="166" t="n"/>
      <c r="Q59" s="162" t="n"/>
      <c r="R59" s="163">
        <f>Q59/(P59*100)</f>
        <v/>
      </c>
    </row>
    <row r="60">
      <c r="B60" s="49">
        <f>H60/F60</f>
        <v/>
      </c>
      <c r="C60" s="78" t="n"/>
      <c r="D60" s="78" t="n"/>
      <c r="E60" s="55" t="n"/>
      <c r="F60" s="153" t="n"/>
      <c r="G60" s="154">
        <f>H60/0.75</f>
        <v/>
      </c>
      <c r="H60" s="164">
        <f>F60/R60*0.75*E60%</f>
        <v/>
      </c>
      <c r="I60" s="154">
        <f>G60*1.5</f>
        <v/>
      </c>
      <c r="J60" s="155">
        <f>F60/R60*2*E60%</f>
        <v/>
      </c>
      <c r="K60" s="78" t="n"/>
      <c r="L60" s="165">
        <f>K60/R60*(1+P60)^3*E60%</f>
        <v/>
      </c>
      <c r="M60" s="161" t="n"/>
      <c r="N60" s="78" t="n"/>
      <c r="O60" s="78" t="n"/>
      <c r="P60" s="166" t="n"/>
      <c r="Q60" s="162" t="n"/>
      <c r="R60" s="163">
        <f>Q60/(P60*100)</f>
        <v/>
      </c>
    </row>
    <row r="61">
      <c r="B61" s="49">
        <f>H61/F61</f>
        <v/>
      </c>
      <c r="C61" s="78" t="n"/>
      <c r="D61" s="78" t="n"/>
      <c r="E61" s="55" t="n"/>
      <c r="F61" s="153" t="n"/>
      <c r="G61" s="154">
        <f>H61/0.75</f>
        <v/>
      </c>
      <c r="H61" s="164">
        <f>F61/R61*0.75*E61%</f>
        <v/>
      </c>
      <c r="I61" s="154">
        <f>G61*1.5</f>
        <v/>
      </c>
      <c r="J61" s="155">
        <f>F61/R61*2*E61%</f>
        <v/>
      </c>
      <c r="K61" s="78" t="n"/>
      <c r="L61" s="165">
        <f>K61/R61*(1+P61)^3*E61%</f>
        <v/>
      </c>
      <c r="M61" s="161" t="n"/>
      <c r="N61" s="78" t="n"/>
      <c r="O61" s="78" t="n"/>
      <c r="P61" s="166" t="n"/>
      <c r="Q61" s="162" t="n"/>
      <c r="R61" s="163">
        <f>Q61/(P61*100)</f>
        <v/>
      </c>
    </row>
    <row r="62">
      <c r="B62" s="49">
        <f>H62/F62</f>
        <v/>
      </c>
      <c r="C62" s="78" t="n"/>
      <c r="D62" s="78" t="n"/>
      <c r="E62" s="55" t="n"/>
      <c r="F62" s="153" t="n"/>
      <c r="G62" s="154">
        <f>H62/0.75</f>
        <v/>
      </c>
      <c r="H62" s="164">
        <f>F62/R62*0.75*E62%</f>
        <v/>
      </c>
      <c r="I62" s="154">
        <f>G62*1.5</f>
        <v/>
      </c>
      <c r="J62" s="155">
        <f>F62/R62*2*E62%</f>
        <v/>
      </c>
      <c r="K62" s="78" t="n"/>
      <c r="L62" s="165">
        <f>K62/R62*(1+P62)^3*E62%</f>
        <v/>
      </c>
      <c r="M62" s="161" t="n"/>
      <c r="N62" s="78" t="n"/>
      <c r="O62" s="78" t="n"/>
      <c r="P62" s="68" t="n"/>
      <c r="Q62" s="162" t="n"/>
      <c r="R62" s="163">
        <f>Q62/(P62*100)</f>
        <v/>
      </c>
    </row>
    <row r="63">
      <c r="B63" s="49">
        <f>H63/F63</f>
        <v/>
      </c>
      <c r="C63" s="78" t="n"/>
      <c r="D63" s="78" t="n"/>
      <c r="E63" s="55" t="n"/>
      <c r="F63" s="153" t="n"/>
      <c r="G63" s="154">
        <f>H63/0.75</f>
        <v/>
      </c>
      <c r="H63" s="164">
        <f>F63/R63*0.75*E63%</f>
        <v/>
      </c>
      <c r="I63" s="154">
        <f>G63*1.5</f>
        <v/>
      </c>
      <c r="J63" s="155">
        <f>F63/R63*2*E63%</f>
        <v/>
      </c>
      <c r="K63" s="78" t="n"/>
      <c r="L63" s="165">
        <f>K63/R63*(1+P63)^3*E63%</f>
        <v/>
      </c>
      <c r="M63" s="161" t="n"/>
      <c r="N63" s="78" t="n"/>
      <c r="O63" s="78" t="n"/>
      <c r="P63" s="68" t="n"/>
      <c r="Q63" s="162" t="n"/>
      <c r="R63" s="163">
        <f>Q63/(P63*100)</f>
        <v/>
      </c>
    </row>
    <row r="64">
      <c r="B64" s="49">
        <f>H64/F64</f>
        <v/>
      </c>
      <c r="C64" s="78" t="n"/>
      <c r="D64" s="78" t="n"/>
      <c r="E64" s="55" t="n"/>
      <c r="F64" s="153" t="n"/>
      <c r="G64" s="154">
        <f>H64/0.75</f>
        <v/>
      </c>
      <c r="H64" s="164">
        <f>F64/R64*0.75*E64%</f>
        <v/>
      </c>
      <c r="I64" s="154">
        <f>G64*1.5</f>
        <v/>
      </c>
      <c r="J64" s="155">
        <f>F64/R64*2*E64%</f>
        <v/>
      </c>
      <c r="K64" s="78" t="n"/>
      <c r="L64" s="165">
        <f>K64/R64*(1+P64)^3*E64%</f>
        <v/>
      </c>
      <c r="M64" s="161" t="n"/>
      <c r="N64" s="78" t="n"/>
      <c r="O64" s="78" t="n"/>
      <c r="P64" s="68" t="n"/>
      <c r="Q64" s="162" t="n"/>
      <c r="R64" s="163">
        <f>Q64/(P64*100)</f>
        <v/>
      </c>
    </row>
    <row r="65">
      <c r="B65" s="49">
        <f>H65/F65</f>
        <v/>
      </c>
      <c r="C65" s="78" t="n"/>
      <c r="D65" s="78" t="n"/>
      <c r="E65" s="55" t="n"/>
      <c r="F65" s="153" t="n"/>
      <c r="G65" s="154">
        <f>H65/0.75</f>
        <v/>
      </c>
      <c r="H65" s="164">
        <f>F65/R65*0.75*E65%</f>
        <v/>
      </c>
      <c r="I65" s="154">
        <f>G65*1.5</f>
        <v/>
      </c>
      <c r="J65" s="155">
        <f>F65/R65*2*E65%</f>
        <v/>
      </c>
      <c r="K65" s="78" t="n"/>
      <c r="L65" s="165">
        <f>K65/R65*(1+P65)^3*E65%</f>
        <v/>
      </c>
      <c r="M65" s="161" t="n"/>
      <c r="N65" s="78" t="n"/>
      <c r="O65" s="78" t="n"/>
      <c r="P65" s="68" t="n"/>
      <c r="Q65" s="162" t="n"/>
      <c r="R65" s="163">
        <f>Q65/(P65*100)</f>
        <v/>
      </c>
    </row>
    <row r="66">
      <c r="B66" s="49">
        <f>H66/F66</f>
        <v/>
      </c>
      <c r="C66" s="78" t="n"/>
      <c r="D66" s="78" t="n"/>
      <c r="E66" s="55" t="n"/>
      <c r="F66" s="153" t="n"/>
      <c r="G66" s="154">
        <f>H66/0.75</f>
        <v/>
      </c>
      <c r="H66" s="164">
        <f>F66/R66*0.75*E66%</f>
        <v/>
      </c>
      <c r="I66" s="154">
        <f>G66*1.5</f>
        <v/>
      </c>
      <c r="J66" s="155">
        <f>F66/R66*2*E66%</f>
        <v/>
      </c>
      <c r="K66" s="78" t="n"/>
      <c r="L66" s="165">
        <f>K66/R66*(1+P66)^3*E66%</f>
        <v/>
      </c>
      <c r="M66" s="161" t="n"/>
      <c r="N66" s="78" t="n"/>
      <c r="O66" s="78" t="n"/>
      <c r="P66" s="68" t="n"/>
      <c r="Q66" s="162" t="n"/>
      <c r="R66" s="163">
        <f>Q66/(P66*100)</f>
        <v/>
      </c>
    </row>
    <row r="67">
      <c r="B67" s="49">
        <f>H67/F67</f>
        <v/>
      </c>
      <c r="C67" s="78" t="n"/>
      <c r="D67" s="78" t="n"/>
      <c r="E67" s="55" t="n"/>
      <c r="F67" s="153" t="n"/>
      <c r="G67" s="154">
        <f>H67/0.75</f>
        <v/>
      </c>
      <c r="H67" s="164">
        <f>F67/R67*0.75*E67%</f>
        <v/>
      </c>
      <c r="I67" s="154">
        <f>G67*1.5</f>
        <v/>
      </c>
      <c r="J67" s="155">
        <f>F67/R67*2*E67%</f>
        <v/>
      </c>
      <c r="K67" s="78" t="n"/>
      <c r="L67" s="165">
        <f>K67/R67*(1+P67)^3*E67%</f>
        <v/>
      </c>
      <c r="M67" s="161" t="n"/>
      <c r="N67" s="78" t="n"/>
      <c r="O67" s="78" t="n"/>
      <c r="P67" s="68" t="n"/>
      <c r="Q67" s="162" t="n"/>
      <c r="R67" s="163">
        <f>Q67/(P67*100)</f>
        <v/>
      </c>
    </row>
    <row r="68">
      <c r="B68" s="49">
        <f>H68/F68</f>
        <v/>
      </c>
      <c r="C68" s="78" t="n"/>
      <c r="D68" s="78" t="n"/>
      <c r="E68" s="55" t="n"/>
      <c r="F68" s="153" t="n"/>
      <c r="G68" s="154">
        <f>H68/0.75</f>
        <v/>
      </c>
      <c r="H68" s="164">
        <f>F68/R68*0.75*E68%</f>
        <v/>
      </c>
      <c r="I68" s="154">
        <f>G68*1.5</f>
        <v/>
      </c>
      <c r="J68" s="155">
        <f>F68/R68*2*E68%</f>
        <v/>
      </c>
      <c r="K68" s="78" t="n"/>
      <c r="L68" s="165">
        <f>K68/R68*(1+P68)^3*E68%</f>
        <v/>
      </c>
      <c r="M68" s="161" t="n"/>
      <c r="N68" s="78" t="n"/>
      <c r="O68" s="78" t="n"/>
      <c r="P68" s="68" t="n"/>
      <c r="Q68" s="162" t="n"/>
      <c r="R68" s="163">
        <f>Q68/(P68*100)</f>
        <v/>
      </c>
    </row>
    <row r="69" ht="12.95" customHeight="1" s="136">
      <c r="B69" s="49">
        <f>H69/F69</f>
        <v/>
      </c>
      <c r="C69" s="78" t="n"/>
      <c r="D69" s="78" t="n"/>
      <c r="E69" s="55" t="n"/>
      <c r="F69" s="153" t="n"/>
      <c r="G69" s="154">
        <f>H69/0.75</f>
        <v/>
      </c>
      <c r="H69" s="164">
        <f>F69/R69*0.75*E69%</f>
        <v/>
      </c>
      <c r="I69" s="154">
        <f>G69*1.5</f>
        <v/>
      </c>
      <c r="J69" s="155">
        <f>F69/R69*2*E69%</f>
        <v/>
      </c>
      <c r="K69" s="78" t="n"/>
      <c r="L69" s="165">
        <f>K69/R69*(1+P69)^3*E69%</f>
        <v/>
      </c>
      <c r="M69" s="71" t="n"/>
      <c r="N69" s="78" t="n"/>
      <c r="O69" s="78" t="n"/>
      <c r="P69" s="68" t="n"/>
      <c r="Q69" s="162" t="n"/>
      <c r="R69" s="163">
        <f>Q69/(P69*100)</f>
        <v/>
      </c>
    </row>
    <row r="70">
      <c r="B70" s="49">
        <f>H70/F70</f>
        <v/>
      </c>
      <c r="C70" s="50" t="n"/>
      <c r="D70" s="54" t="n"/>
      <c r="E70" s="55" t="n"/>
      <c r="F70" s="153" t="n"/>
      <c r="G70" s="154">
        <f>H70/0.75</f>
        <v/>
      </c>
      <c r="H70" s="164">
        <f>F70/R70*0.75*E70%</f>
        <v/>
      </c>
      <c r="I70" s="154">
        <f>G70*1.5</f>
        <v/>
      </c>
      <c r="J70" s="167">
        <f>F70/R70*2*E70%</f>
        <v/>
      </c>
      <c r="K70" s="78" t="n"/>
      <c r="L70" s="165">
        <f>K70/R70*(1+P70)^3*E70%</f>
        <v/>
      </c>
      <c r="M70" s="161" t="n"/>
      <c r="N70" s="78" t="n"/>
      <c r="O70" s="78" t="n"/>
      <c r="P70" s="68" t="n"/>
      <c r="Q70" s="162" t="n"/>
      <c r="R70" s="163">
        <f>Q70/(P70*100)</f>
        <v/>
      </c>
    </row>
    <row r="71">
      <c r="B71" s="49">
        <f>H71/F71</f>
        <v/>
      </c>
      <c r="C71" s="50" t="n"/>
      <c r="D71" s="54" t="n"/>
      <c r="E71" s="55" t="n"/>
      <c r="F71" s="153" t="n"/>
      <c r="G71" s="154">
        <f>H71/0.75</f>
        <v/>
      </c>
      <c r="H71" s="164">
        <f>F71/R71*0.75*E71%</f>
        <v/>
      </c>
      <c r="I71" s="154">
        <f>G71*1.5</f>
        <v/>
      </c>
      <c r="J71" s="167">
        <f>F71/R71*2*E71%</f>
        <v/>
      </c>
      <c r="K71" s="78" t="n"/>
      <c r="L71" s="165">
        <f>K71/R71*(1+P71)^3*E71%</f>
        <v/>
      </c>
      <c r="M71" s="161" t="n"/>
      <c r="N71" s="78" t="n"/>
      <c r="O71" s="78" t="n"/>
      <c r="P71" s="68" t="n"/>
      <c r="Q71" s="162" t="n"/>
      <c r="R71" s="163">
        <f>Q71/(P71*100)</f>
        <v/>
      </c>
    </row>
    <row r="72">
      <c r="B72" s="78" t="n"/>
      <c r="C72" s="78" t="n"/>
      <c r="D72" s="78" t="n"/>
      <c r="E72" s="58" t="n"/>
      <c r="F72" s="153" t="n"/>
      <c r="G72" s="168" t="n"/>
      <c r="H72" s="169" t="n"/>
      <c r="I72" s="169" t="n"/>
      <c r="J72" s="170" t="n"/>
      <c r="K72" s="83" t="n"/>
      <c r="L72" s="170" t="n"/>
      <c r="M72" s="83" t="n"/>
      <c r="N72" s="78" t="n"/>
      <c r="O72" s="78" t="n"/>
      <c r="P72" s="68" t="n"/>
      <c r="Q72" s="58" t="n"/>
      <c r="R72" s="163" t="n"/>
    </row>
    <row r="73">
      <c r="B73" s="78" t="n"/>
      <c r="C73" s="78" t="n"/>
      <c r="D73" s="78" t="n"/>
      <c r="E73" s="58" t="n"/>
      <c r="F73" s="153" t="n"/>
      <c r="G73" s="168" t="n"/>
      <c r="H73" s="169" t="n"/>
      <c r="I73" s="169" t="n"/>
      <c r="J73" s="170" t="n"/>
      <c r="K73" s="83" t="n"/>
      <c r="L73" s="170" t="n"/>
      <c r="M73" s="83" t="n"/>
      <c r="N73" s="78" t="n"/>
      <c r="O73" s="78" t="n"/>
      <c r="P73" s="68" t="n"/>
      <c r="Q73" s="58" t="n"/>
      <c r="R73" s="163" t="n"/>
    </row>
    <row r="74">
      <c r="Q74" s="84" t="n"/>
      <c r="R74" s="171" t="n"/>
    </row>
    <row r="75">
      <c r="Q75" s="84" t="n"/>
      <c r="R75" s="171" t="n"/>
    </row>
    <row r="76">
      <c r="Q76" s="84" t="n"/>
      <c r="R76" s="171" t="n"/>
    </row>
    <row r="77">
      <c r="Q77" s="84" t="n"/>
      <c r="R77" s="171" t="n"/>
    </row>
    <row r="78">
      <c r="Q78" s="84" t="n"/>
      <c r="R78" s="171" t="n"/>
    </row>
    <row r="79">
      <c r="Q79" s="84" t="n"/>
      <c r="R79" s="171" t="n"/>
    </row>
    <row r="80">
      <c r="Q80" s="84" t="n"/>
      <c r="R80" s="171" t="n"/>
    </row>
    <row r="81">
      <c r="Q81" s="84" t="n"/>
      <c r="R81" s="171" t="n"/>
    </row>
  </sheetData>
  <mergeCells count="17">
    <mergeCell ref="G5:G6"/>
    <mergeCell ref="E5:E6"/>
    <mergeCell ref="N5:N6"/>
    <mergeCell ref="Q5:Q6"/>
    <mergeCell ref="B4:O4"/>
    <mergeCell ref="R5:R6"/>
    <mergeCell ref="O5:O6"/>
    <mergeCell ref="P5:P6"/>
    <mergeCell ref="P2:R3"/>
    <mergeCell ref="P4:R4"/>
    <mergeCell ref="F5:F6"/>
    <mergeCell ref="M2:O3"/>
    <mergeCell ref="D5:D6"/>
    <mergeCell ref="B2:K3"/>
    <mergeCell ref="B5:B6"/>
    <mergeCell ref="I5:I6"/>
    <mergeCell ref="C5:C6"/>
  </mergeCells>
  <conditionalFormatting sqref="B11">
    <cfRule type="cellIs" priority="18" operator="greaterThan" dxfId="40">
      <formula>1</formula>
    </cfRule>
    <cfRule type="cellIs" priority="17" operator="between" dxfId="2">
      <formula>0.75</formula>
      <formula>1</formula>
    </cfRule>
    <cfRule type="cellIs" priority="16" operator="between" dxfId="46">
      <formula>0.5</formula>
      <formula>0.75</formula>
    </cfRule>
    <cfRule type="cellIs" priority="15" operator="between" dxfId="0">
      <formula>0.5</formula>
      <formula>0.75</formula>
    </cfRule>
    <cfRule type="cellIs" priority="14" operator="between" dxfId="44">
      <formula>0.25</formula>
      <formula>0.5</formula>
    </cfRule>
    <cfRule type="cellIs" priority="13" operator="lessThan" dxfId="6">
      <formula>0.25</formula>
    </cfRule>
    <cfRule type="cellIs" priority="12" operator="between" dxfId="3">
      <formula>0.75</formula>
      <formula>1</formula>
    </cfRule>
  </conditionalFormatting>
  <conditionalFormatting sqref="M11">
    <cfRule type="cellIs" priority="11" operator="greaterThan" dxfId="6">
      <formula>0</formula>
    </cfRule>
    <cfRule type="cellIs" priority="10" operator="lessThan" dxfId="40">
      <formula>0</formula>
    </cfRule>
  </conditionalFormatting>
  <conditionalFormatting sqref="B54">
    <cfRule type="cellIs" priority="9" operator="greaterThan" dxfId="40">
      <formula>1</formula>
    </cfRule>
    <cfRule type="cellIs" priority="8" operator="between" dxfId="2">
      <formula>0.75</formula>
      <formula>1</formula>
    </cfRule>
    <cfRule type="cellIs" priority="7" operator="between" dxfId="46">
      <formula>0.5</formula>
      <formula>0.75</formula>
    </cfRule>
    <cfRule type="cellIs" priority="6" operator="between" dxfId="0">
      <formula>0.5</formula>
      <formula>0.75</formula>
    </cfRule>
    <cfRule type="cellIs" priority="5" operator="between" dxfId="44">
      <formula>0.25</formula>
      <formula>0.5</formula>
    </cfRule>
    <cfRule type="cellIs" priority="4" operator="lessThan" dxfId="6">
      <formula>0.25</formula>
    </cfRule>
    <cfRule type="cellIs" priority="3" operator="between" dxfId="3">
      <formula>0.75</formula>
      <formula>1</formula>
    </cfRule>
  </conditionalFormatting>
  <conditionalFormatting sqref="M54">
    <cfRule type="cellIs" priority="2" operator="greaterThan" dxfId="6">
      <formula>0</formula>
    </cfRule>
    <cfRule type="cellIs" priority="1" operator="lessThan" dxfId="40">
      <formula>0</formula>
    </cfRule>
  </conditionalFormatting>
  <conditionalFormatting sqref="B7:B10 B12:B53 B55:B71">
    <cfRule type="cellIs" priority="27" operator="greaterThan" dxfId="40">
      <formula>1</formula>
    </cfRule>
    <cfRule type="cellIs" priority="26" operator="between" dxfId="2">
      <formula>0.75</formula>
      <formula>1</formula>
    </cfRule>
    <cfRule type="cellIs" priority="25" operator="between" dxfId="46">
      <formula>0.5</formula>
      <formula>0.75</formula>
    </cfRule>
    <cfRule type="cellIs" priority="24" operator="between" dxfId="0">
      <formula>0.5</formula>
      <formula>0.75</formula>
    </cfRule>
    <cfRule type="cellIs" priority="23" operator="between" dxfId="44">
      <formula>0.25</formula>
      <formula>0.5</formula>
    </cfRule>
    <cfRule type="cellIs" priority="22" operator="lessThan" dxfId="6">
      <formula>0.25</formula>
    </cfRule>
  </conditionalFormatting>
  <conditionalFormatting sqref="B7:B10 B12:B53 B55:B73">
    <cfRule type="cellIs" priority="21" operator="between" dxfId="3">
      <formula>0.75</formula>
      <formula>1</formula>
    </cfRule>
  </conditionalFormatting>
  <conditionalFormatting sqref="M7:M10 M12:M53 M55:M71">
    <cfRule type="cellIs" priority="20" operator="greaterThan" dxfId="6">
      <formula>0</formula>
    </cfRule>
    <cfRule type="cellIs" priority="19" operator="lessThan" dxfId="40">
      <formula>0</formula>
    </cfRule>
  </conditionalFormatting>
  <pageMargins left="0.118055555555556" right="0.118055555555556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O152"/>
  <sheetViews>
    <sheetView zoomScale="70" zoomScaleNormal="70" workbookViewId="0">
      <pane ySplit="2" topLeftCell="A3" activePane="bottomLeft" state="frozen"/>
      <selection pane="bottomLeft" activeCell="M3" sqref="M3"/>
    </sheetView>
  </sheetViews>
  <sheetFormatPr baseColWidth="8" defaultColWidth="9.5" defaultRowHeight="14.25"/>
  <cols>
    <col width="9.5" customWidth="1" style="20" min="1" max="1"/>
    <col width="12.875" customWidth="1" style="20" min="2" max="2"/>
    <col width="13" customWidth="1" style="20" min="3" max="3"/>
    <col width="31.375" customWidth="1" style="114" min="4" max="4"/>
    <col width="9.875" customWidth="1" style="20" min="5" max="5"/>
    <col width="6.25" customWidth="1" style="20" min="6" max="7"/>
    <col width="7.875" customWidth="1" style="20" min="8" max="10"/>
    <col width="8.625" customWidth="1" style="20" min="11" max="12"/>
    <col width="12.5" customWidth="1" style="20" min="13" max="13"/>
    <col width="13.125" customWidth="1" style="20" min="14" max="14"/>
    <col width="49.75" customWidth="1" style="114" min="15" max="15"/>
    <col width="12.25" customWidth="1" style="20" min="16" max="16"/>
    <col width="9.5" customWidth="1" style="20" min="17" max="16384"/>
  </cols>
  <sheetData>
    <row r="1" ht="110.1" customHeight="1" s="136">
      <c r="A1" s="172" t="inlineStr">
        <is>
          <t>PE区间估值法原始表格
风险提示：以下内容均为个人思考分享，仅作为学习交流使用，不构成任何投资建议；表格内容一定要注意更新日期，如后续有股本（除权）等变化，需要根据实际情况重新计算每股收益；本号不对由此造成的一切损失承担任何责任，股市有风险，投资需谨慎！切记，切记。</t>
        </is>
      </c>
      <c r="N1" s="173" t="n"/>
      <c r="O1" s="113" t="n"/>
    </row>
    <row r="2" ht="110.1" customFormat="1" customHeight="1" s="19">
      <c r="A2" s="127" t="inlineStr">
        <is>
          <t>分类</t>
        </is>
      </c>
      <c r="B2" s="127" t="inlineStr">
        <is>
          <t>股票代码</t>
        </is>
      </c>
      <c r="C2" s="127" t="inlineStr">
        <is>
          <t>股票名称</t>
        </is>
      </c>
      <c r="D2" s="127" t="inlineStr">
        <is>
          <t>核心竞争力</t>
        </is>
      </c>
      <c r="E2" s="127" t="inlineStr">
        <is>
          <t>预估未来3年每股平均收益</t>
        </is>
      </c>
      <c r="F2" s="127" t="inlineStr">
        <is>
          <t>PE估值区间</t>
        </is>
      </c>
      <c r="G2" s="173" t="n"/>
      <c r="H2" s="127" t="inlineStr">
        <is>
          <t>加仓点</t>
        </is>
      </c>
      <c r="I2" s="127" t="inlineStr">
        <is>
          <t>减仓点</t>
        </is>
      </c>
      <c r="J2" s="127" t="inlineStr">
        <is>
          <t>竞争力评分</t>
        </is>
      </c>
      <c r="K2" s="127" t="inlineStr">
        <is>
          <t>总股本(亿)</t>
        </is>
      </c>
      <c r="L2" s="127" t="inlineStr">
        <is>
          <t>收盘价</t>
        </is>
      </c>
      <c r="M2" s="127" t="inlineStr">
        <is>
          <t>当前评级</t>
        </is>
      </c>
      <c r="N2" s="127" t="inlineStr">
        <is>
          <t>更新时间</t>
        </is>
      </c>
    </row>
    <row r="3" ht="20.1" customFormat="1" customHeight="1" s="19">
      <c r="A3" s="116" t="inlineStr">
        <is>
          <t>酒</t>
        </is>
      </c>
      <c r="B3" s="23" t="inlineStr">
        <is>
          <t>600XXX.SH</t>
        </is>
      </c>
      <c r="C3" s="23" t="inlineStr">
        <is>
          <t>XXXX</t>
        </is>
      </c>
      <c r="D3" s="24" t="inlineStr">
        <is>
          <t>白酒龙头，酱香一哥、社交属性</t>
        </is>
      </c>
      <c r="E3" s="23" t="n">
        <v>80</v>
      </c>
      <c r="F3" s="23" t="n">
        <v>15</v>
      </c>
      <c r="G3" s="23" t="n">
        <v>35</v>
      </c>
      <c r="H3" s="25" t="n">
        <v>1200</v>
      </c>
      <c r="I3" s="33" t="n">
        <v>2800</v>
      </c>
      <c r="J3" s="23" t="n">
        <v>100</v>
      </c>
      <c r="K3" s="23" t="n">
        <v>12.56</v>
      </c>
      <c r="L3" s="23" t="n">
        <v>1443.19</v>
      </c>
      <c r="M3" s="23" t="inlineStr">
        <is>
          <t>合理</t>
        </is>
      </c>
      <c r="N3" s="23" t="inlineStr">
        <is>
          <t>2024.09.01</t>
        </is>
      </c>
      <c r="O3" s="34" t="n"/>
    </row>
    <row r="4" ht="20.1" customFormat="1" customHeight="1" s="19">
      <c r="A4" s="174" t="n"/>
      <c r="B4" s="26" t="n"/>
      <c r="C4" s="26" t="n"/>
      <c r="D4" s="27" t="n"/>
      <c r="E4" s="26" t="n"/>
      <c r="F4" s="26" t="n"/>
      <c r="G4" s="26" t="n"/>
      <c r="H4" s="28">
        <f>E4*F4</f>
        <v/>
      </c>
      <c r="I4" s="35">
        <f>E4*G4</f>
        <v/>
      </c>
      <c r="J4" s="26" t="n"/>
      <c r="K4" s="26" t="n"/>
      <c r="L4" s="26" t="n"/>
      <c r="M4" s="26" t="n"/>
      <c r="N4" s="32" t="n"/>
      <c r="O4" s="34" t="n"/>
    </row>
    <row r="5" ht="20.1" customFormat="1" customHeight="1" s="19">
      <c r="A5" s="174" t="n"/>
      <c r="B5" s="26" t="n"/>
      <c r="C5" s="26" t="n"/>
      <c r="D5" s="27" t="n"/>
      <c r="E5" s="26" t="n"/>
      <c r="F5" s="26" t="n"/>
      <c r="G5" s="26" t="n"/>
      <c r="H5" s="28">
        <f>E5*F5</f>
        <v/>
      </c>
      <c r="I5" s="35">
        <f>E5*G5</f>
        <v/>
      </c>
      <c r="J5" s="26" t="n"/>
      <c r="K5" s="26" t="n"/>
      <c r="L5" s="26" t="n"/>
      <c r="M5" s="26" t="n"/>
      <c r="N5" s="32" t="n"/>
      <c r="O5" s="34" t="n"/>
    </row>
    <row r="6" ht="20.1" customFormat="1" customHeight="1" s="19">
      <c r="A6" s="174" t="n"/>
      <c r="B6" s="26" t="n"/>
      <c r="C6" s="26" t="n"/>
      <c r="D6" s="27" t="n"/>
      <c r="E6" s="26" t="n"/>
      <c r="F6" s="26" t="n"/>
      <c r="G6" s="26" t="n"/>
      <c r="H6" s="28">
        <f>E6*F6</f>
        <v/>
      </c>
      <c r="I6" s="35">
        <f>E6*G6</f>
        <v/>
      </c>
      <c r="J6" s="26" t="n"/>
      <c r="K6" s="26" t="n"/>
      <c r="L6" s="26" t="n"/>
      <c r="M6" s="26" t="n"/>
      <c r="N6" s="32" t="n"/>
      <c r="O6" s="34" t="n"/>
    </row>
    <row r="7" ht="20.1" customFormat="1" customHeight="1" s="19">
      <c r="A7" s="174" t="n"/>
      <c r="B7" s="26" t="n"/>
      <c r="C7" s="26" t="n"/>
      <c r="D7" s="27" t="n"/>
      <c r="E7" s="26" t="n"/>
      <c r="F7" s="26" t="n"/>
      <c r="G7" s="26" t="n"/>
      <c r="H7" s="28">
        <f>E7*F7</f>
        <v/>
      </c>
      <c r="I7" s="35">
        <f>E7*G7</f>
        <v/>
      </c>
      <c r="J7" s="26" t="n"/>
      <c r="K7" s="26" t="n"/>
      <c r="L7" s="26" t="n"/>
      <c r="M7" s="32" t="n"/>
      <c r="N7" s="32" t="n"/>
      <c r="O7" s="34" t="n"/>
    </row>
    <row r="8" ht="20.1" customFormat="1" customHeight="1" s="19">
      <c r="A8" s="174" t="n"/>
      <c r="B8" s="26" t="n"/>
      <c r="C8" s="26" t="n"/>
      <c r="D8" s="27" t="n"/>
      <c r="E8" s="26" t="n"/>
      <c r="F8" s="26" t="n"/>
      <c r="G8" s="26" t="n"/>
      <c r="H8" s="28">
        <f>E8*F8</f>
        <v/>
      </c>
      <c r="I8" s="35">
        <f>E8*G8</f>
        <v/>
      </c>
      <c r="J8" s="26" t="n"/>
      <c r="K8" s="26" t="n"/>
      <c r="L8" s="175" t="n"/>
      <c r="M8" s="26" t="n"/>
      <c r="N8" s="32" t="n"/>
      <c r="O8" s="34" t="n"/>
    </row>
    <row r="9" ht="20.1" customFormat="1" customHeight="1" s="19">
      <c r="A9" s="174" t="n"/>
      <c r="B9" s="26" t="n"/>
      <c r="C9" s="26" t="n"/>
      <c r="D9" s="27" t="n"/>
      <c r="E9" s="26" t="n"/>
      <c r="F9" s="26" t="n"/>
      <c r="G9" s="26" t="n"/>
      <c r="H9" s="28">
        <f>E9*F9</f>
        <v/>
      </c>
      <c r="I9" s="35">
        <f>E9*G9</f>
        <v/>
      </c>
      <c r="J9" s="26" t="n"/>
      <c r="K9" s="26" t="n"/>
      <c r="L9" s="26" t="n"/>
      <c r="M9" s="26" t="n"/>
      <c r="N9" s="32" t="n"/>
      <c r="O9" s="34" t="n"/>
    </row>
    <row r="10" ht="20.1" customFormat="1" customHeight="1" s="19">
      <c r="A10" s="152" t="n"/>
      <c r="B10" s="26" t="n"/>
      <c r="C10" s="26" t="n"/>
      <c r="D10" s="27" t="n"/>
      <c r="E10" s="26" t="n"/>
      <c r="F10" s="26" t="n"/>
      <c r="G10" s="26" t="n"/>
      <c r="H10" s="28">
        <f>E10*F10</f>
        <v/>
      </c>
      <c r="I10" s="35">
        <f>E10*G10</f>
        <v/>
      </c>
      <c r="J10" s="26" t="n"/>
      <c r="K10" s="26" t="n"/>
      <c r="L10" s="26" t="n"/>
      <c r="M10" s="26" t="n"/>
      <c r="N10" s="32" t="n"/>
      <c r="O10" s="34" t="n"/>
    </row>
    <row r="11" ht="20.1" customFormat="1" customHeight="1" s="19">
      <c r="A11" s="116" t="inlineStr">
        <is>
          <t>医</t>
        </is>
      </c>
      <c r="B11" s="26" t="n"/>
      <c r="C11" s="26" t="n"/>
      <c r="D11" s="27" t="n"/>
      <c r="E11" s="26" t="n"/>
      <c r="F11" s="26" t="n"/>
      <c r="G11" s="26" t="n"/>
      <c r="H11" s="28">
        <f>E11*F11</f>
        <v/>
      </c>
      <c r="I11" s="35">
        <f>E11*G11</f>
        <v/>
      </c>
      <c r="J11" s="26" t="n"/>
      <c r="K11" s="26" t="n"/>
      <c r="L11" s="26" t="n"/>
      <c r="M11" s="26" t="n"/>
      <c r="N11" s="32" t="n"/>
      <c r="O11" s="37" t="n"/>
    </row>
    <row r="12" ht="20.1" customFormat="1" customHeight="1" s="19">
      <c r="A12" s="174" t="n"/>
      <c r="B12" s="26" t="n"/>
      <c r="C12" s="26" t="n"/>
      <c r="D12" s="27" t="n"/>
      <c r="E12" s="26" t="n"/>
      <c r="F12" s="26" t="n"/>
      <c r="G12" s="26" t="n"/>
      <c r="H12" s="28">
        <f>E12*F12</f>
        <v/>
      </c>
      <c r="I12" s="35">
        <f>E12*G12</f>
        <v/>
      </c>
      <c r="J12" s="26" t="n"/>
      <c r="K12" s="26" t="n"/>
      <c r="L12" s="26" t="n"/>
      <c r="M12" s="32" t="n"/>
      <c r="N12" s="32" t="n"/>
      <c r="O12" s="37" t="n"/>
    </row>
    <row r="13" ht="20.1" customFormat="1" customHeight="1" s="19">
      <c r="A13" s="174" t="n"/>
      <c r="B13" s="26" t="n"/>
      <c r="C13" s="26" t="n"/>
      <c r="D13" s="27" t="n"/>
      <c r="E13" s="26" t="n"/>
      <c r="F13" s="26" t="n"/>
      <c r="G13" s="26" t="n"/>
      <c r="H13" s="28">
        <f>E13*F13</f>
        <v/>
      </c>
      <c r="I13" s="35">
        <f>E13*G13</f>
        <v/>
      </c>
      <c r="J13" s="26" t="n"/>
      <c r="K13" s="26" t="n"/>
      <c r="L13" s="26" t="n"/>
      <c r="M13" s="32" t="n"/>
      <c r="N13" s="32" t="n"/>
      <c r="O13" s="37" t="n"/>
    </row>
    <row r="14" ht="20.1" customFormat="1" customHeight="1" s="19">
      <c r="A14" s="174" t="n"/>
      <c r="B14" s="26" t="n"/>
      <c r="C14" s="26" t="n"/>
      <c r="D14" s="27" t="n"/>
      <c r="E14" s="26" t="n"/>
      <c r="F14" s="26" t="n"/>
      <c r="G14" s="26" t="n"/>
      <c r="H14" s="28">
        <f>E14*F14</f>
        <v/>
      </c>
      <c r="I14" s="35">
        <f>E14*G14</f>
        <v/>
      </c>
      <c r="J14" s="26" t="n"/>
      <c r="K14" s="26" t="n"/>
      <c r="L14" s="26" t="n"/>
      <c r="M14" s="32" t="n"/>
      <c r="N14" s="32" t="n"/>
      <c r="O14" s="37" t="n"/>
    </row>
    <row r="15" ht="20.1" customFormat="1" customHeight="1" s="19">
      <c r="A15" s="174" t="n"/>
      <c r="B15" s="26" t="n"/>
      <c r="C15" s="26" t="n"/>
      <c r="D15" s="27" t="n"/>
      <c r="E15" s="26" t="n"/>
      <c r="F15" s="26" t="n"/>
      <c r="G15" s="26" t="n"/>
      <c r="H15" s="28">
        <f>E15*F15</f>
        <v/>
      </c>
      <c r="I15" s="35">
        <f>E15*G15</f>
        <v/>
      </c>
      <c r="J15" s="26" t="n"/>
      <c r="K15" s="26" t="n"/>
      <c r="L15" s="26" t="n"/>
      <c r="M15" s="32" t="n"/>
      <c r="N15" s="32" t="n"/>
      <c r="O15" s="37" t="n"/>
    </row>
    <row r="16" ht="20.1" customFormat="1" customHeight="1" s="19">
      <c r="A16" s="174" t="n"/>
      <c r="B16" s="26" t="n"/>
      <c r="C16" s="26" t="n"/>
      <c r="D16" s="27" t="n"/>
      <c r="E16" s="26" t="n"/>
      <c r="F16" s="26" t="n"/>
      <c r="G16" s="26" t="n"/>
      <c r="H16" s="28">
        <f>E16*F16</f>
        <v/>
      </c>
      <c r="I16" s="35">
        <f>E16*G16</f>
        <v/>
      </c>
      <c r="J16" s="26" t="n"/>
      <c r="K16" s="26" t="n"/>
      <c r="L16" s="26" t="n"/>
      <c r="M16" s="32" t="n"/>
      <c r="N16" s="32" t="n"/>
      <c r="O16" s="37" t="n"/>
    </row>
    <row r="17" ht="20.1" customFormat="1" customHeight="1" s="19">
      <c r="A17" s="174" t="n"/>
      <c r="B17" s="26" t="n"/>
      <c r="C17" s="26" t="n"/>
      <c r="D17" s="27" t="n"/>
      <c r="E17" s="26" t="n"/>
      <c r="F17" s="26" t="n"/>
      <c r="G17" s="26" t="n"/>
      <c r="H17" s="28">
        <f>E17*F17</f>
        <v/>
      </c>
      <c r="I17" s="35">
        <f>E17*G17</f>
        <v/>
      </c>
      <c r="J17" s="26" t="n"/>
      <c r="K17" s="26" t="n"/>
      <c r="L17" s="26" t="n"/>
      <c r="M17" s="32" t="n"/>
      <c r="N17" s="32" t="n"/>
      <c r="O17" s="37" t="n"/>
    </row>
    <row r="18" ht="20.1" customFormat="1" customHeight="1" s="19">
      <c r="A18" s="174" t="n"/>
      <c r="B18" s="26" t="n"/>
      <c r="C18" s="26" t="n"/>
      <c r="D18" s="27" t="n"/>
      <c r="E18" s="26" t="n"/>
      <c r="F18" s="26" t="n"/>
      <c r="G18" s="26" t="n"/>
      <c r="H18" s="28">
        <f>E18*F18</f>
        <v/>
      </c>
      <c r="I18" s="35">
        <f>E18*G18</f>
        <v/>
      </c>
      <c r="J18" s="26" t="n"/>
      <c r="K18" s="26" t="n"/>
      <c r="L18" s="175" t="n"/>
      <c r="M18" s="26" t="n"/>
      <c r="N18" s="32" t="n"/>
      <c r="O18" s="37" t="n"/>
    </row>
    <row r="19" ht="20.1" customFormat="1" customHeight="1" s="19">
      <c r="A19" s="174" t="n"/>
      <c r="B19" s="26" t="n"/>
      <c r="C19" s="26" t="n"/>
      <c r="D19" s="27" t="n"/>
      <c r="E19" s="26" t="n"/>
      <c r="F19" s="26" t="n"/>
      <c r="G19" s="26" t="n"/>
      <c r="H19" s="28">
        <f>E19*F19</f>
        <v/>
      </c>
      <c r="I19" s="35">
        <f>E19*G19</f>
        <v/>
      </c>
      <c r="J19" s="26" t="n"/>
      <c r="K19" s="26" t="n"/>
      <c r="L19" s="26" t="n"/>
      <c r="M19" s="32" t="n"/>
      <c r="N19" s="32" t="n"/>
      <c r="O19" s="37" t="n"/>
    </row>
    <row r="20" ht="20.1" customHeight="1" s="136">
      <c r="A20" s="174" t="n"/>
      <c r="B20" s="26" t="n"/>
      <c r="C20" s="26" t="n"/>
      <c r="D20" s="27" t="n"/>
      <c r="E20" s="26" t="n"/>
      <c r="F20" s="26" t="n"/>
      <c r="G20" s="26" t="n"/>
      <c r="H20" s="28">
        <f>E20*F20</f>
        <v/>
      </c>
      <c r="I20" s="35">
        <f>E20*G20</f>
        <v/>
      </c>
      <c r="J20" s="26" t="n"/>
      <c r="K20" s="26" t="n"/>
      <c r="L20" s="26" t="n"/>
      <c r="M20" s="32" t="n"/>
      <c r="N20" s="32" t="n"/>
    </row>
    <row r="21" ht="20.1" customHeight="1" s="136">
      <c r="A21" s="174" t="n"/>
      <c r="B21" s="26" t="n"/>
      <c r="C21" s="26" t="n"/>
      <c r="D21" s="27" t="n"/>
      <c r="E21" s="26" t="n"/>
      <c r="F21" s="26" t="n"/>
      <c r="G21" s="26" t="n"/>
      <c r="H21" s="28">
        <f>E21*F21</f>
        <v/>
      </c>
      <c r="I21" s="35">
        <f>E21*G21</f>
        <v/>
      </c>
      <c r="J21" s="26" t="n"/>
      <c r="K21" s="26" t="n"/>
      <c r="L21" s="26" t="n"/>
      <c r="M21" s="32" t="n"/>
      <c r="N21" s="32" t="n"/>
    </row>
    <row r="22" ht="20.1" customHeight="1" s="136">
      <c r="A22" s="174" t="n"/>
      <c r="B22" s="26" t="n"/>
      <c r="C22" s="26" t="n"/>
      <c r="D22" s="27" t="n"/>
      <c r="E22" s="26" t="n"/>
      <c r="F22" s="26" t="n"/>
      <c r="G22" s="26" t="n"/>
      <c r="H22" s="28">
        <f>E22*F22</f>
        <v/>
      </c>
      <c r="I22" s="35">
        <f>E22*G22</f>
        <v/>
      </c>
      <c r="J22" s="26" t="n"/>
      <c r="K22" s="26" t="n"/>
      <c r="L22" s="26" t="n"/>
      <c r="M22" s="26" t="n"/>
      <c r="N22" s="32" t="n"/>
    </row>
    <row r="23" ht="20.1" customHeight="1" s="136">
      <c r="A23" s="174" t="n"/>
      <c r="B23" s="26" t="n"/>
      <c r="C23" s="26" t="n"/>
      <c r="D23" s="27" t="n"/>
      <c r="E23" s="26" t="n"/>
      <c r="F23" s="26" t="n"/>
      <c r="G23" s="26" t="n"/>
      <c r="H23" s="28">
        <f>E23*F23</f>
        <v/>
      </c>
      <c r="I23" s="35">
        <f>E23*G23</f>
        <v/>
      </c>
      <c r="J23" s="26" t="n"/>
      <c r="K23" s="26" t="n"/>
      <c r="L23" s="26" t="n"/>
      <c r="M23" s="26" t="n"/>
      <c r="N23" s="32" t="n"/>
    </row>
    <row r="24" ht="20.1" customHeight="1" s="136">
      <c r="A24" s="174" t="n"/>
      <c r="B24" s="26" t="n"/>
      <c r="C24" s="26" t="n"/>
      <c r="D24" s="27" t="n"/>
      <c r="E24" s="26" t="n"/>
      <c r="F24" s="26" t="n"/>
      <c r="G24" s="26" t="n"/>
      <c r="H24" s="28">
        <f>E24*F24</f>
        <v/>
      </c>
      <c r="I24" s="35">
        <f>E24*G24</f>
        <v/>
      </c>
      <c r="J24" s="26" t="n"/>
      <c r="K24" s="26" t="n"/>
      <c r="L24" s="26" t="n"/>
      <c r="M24" s="32" t="n"/>
      <c r="N24" s="32" t="n"/>
    </row>
    <row r="25" ht="20.1" customHeight="1" s="136">
      <c r="A25" s="174" t="n"/>
      <c r="B25" s="26" t="n"/>
      <c r="C25" s="26" t="n"/>
      <c r="D25" s="27" t="n"/>
      <c r="E25" s="26" t="n"/>
      <c r="F25" s="26" t="n"/>
      <c r="G25" s="26" t="n"/>
      <c r="H25" s="28">
        <f>E25*F25</f>
        <v/>
      </c>
      <c r="I25" s="35">
        <f>E25*G25</f>
        <v/>
      </c>
      <c r="J25" s="26" t="n"/>
      <c r="K25" s="26" t="n"/>
      <c r="L25" s="26" t="n"/>
      <c r="M25" s="26" t="n"/>
      <c r="N25" s="32" t="n"/>
    </row>
    <row r="26" ht="20.1" customHeight="1" s="136">
      <c r="A26" s="174" t="n"/>
      <c r="B26" s="26" t="n"/>
      <c r="C26" s="26" t="n"/>
      <c r="D26" s="27" t="n"/>
      <c r="E26" s="26" t="n"/>
      <c r="F26" s="26" t="n"/>
      <c r="G26" s="26" t="n"/>
      <c r="H26" s="28">
        <f>E26*F26</f>
        <v/>
      </c>
      <c r="I26" s="35">
        <f>E26*G26</f>
        <v/>
      </c>
      <c r="J26" s="26" t="n"/>
      <c r="K26" s="26" t="n"/>
      <c r="L26" s="26" t="n"/>
      <c r="M26" s="26" t="n"/>
      <c r="N26" s="32" t="n"/>
    </row>
    <row r="27" ht="20.1" customHeight="1" s="136">
      <c r="A27" s="152" t="n"/>
      <c r="B27" s="26" t="n"/>
      <c r="C27" s="26" t="n"/>
      <c r="D27" s="29" t="n"/>
      <c r="E27" s="26" t="n"/>
      <c r="F27" s="26" t="n"/>
      <c r="G27" s="26" t="n"/>
      <c r="H27" s="28">
        <f>E27*F27</f>
        <v/>
      </c>
      <c r="I27" s="35">
        <f>E27*G27</f>
        <v/>
      </c>
      <c r="J27" s="26" t="n"/>
      <c r="K27" s="26" t="n"/>
      <c r="L27" s="26" t="n"/>
      <c r="M27" s="26" t="n"/>
      <c r="N27" s="32" t="n"/>
    </row>
    <row r="28" ht="20.1" customHeight="1" s="136">
      <c r="A28" s="112" t="inlineStr">
        <is>
          <t>食</t>
        </is>
      </c>
      <c r="B28" s="26" t="n"/>
      <c r="C28" s="26" t="n"/>
      <c r="D28" s="27" t="n"/>
      <c r="E28" s="26" t="n"/>
      <c r="F28" s="26" t="n"/>
      <c r="G28" s="26" t="n"/>
      <c r="H28" s="28">
        <f>E28*F28</f>
        <v/>
      </c>
      <c r="I28" s="35">
        <f>E28*G28</f>
        <v/>
      </c>
      <c r="J28" s="26" t="n"/>
      <c r="K28" s="26" t="n"/>
      <c r="L28" s="26" t="n"/>
      <c r="M28" s="32" t="n"/>
      <c r="N28" s="32" t="n"/>
    </row>
    <row r="29" ht="20.1" customHeight="1" s="136">
      <c r="A29" s="174" t="n"/>
      <c r="B29" s="26" t="n"/>
      <c r="C29" s="26" t="n"/>
      <c r="D29" s="27" t="n"/>
      <c r="E29" s="26" t="n"/>
      <c r="F29" s="26" t="n"/>
      <c r="G29" s="26" t="n"/>
      <c r="H29" s="28">
        <f>E29*F29</f>
        <v/>
      </c>
      <c r="I29" s="35">
        <f>E29*G29</f>
        <v/>
      </c>
      <c r="J29" s="26" t="n"/>
      <c r="K29" s="26" t="n"/>
      <c r="L29" s="26" t="n"/>
      <c r="M29" s="32" t="n"/>
      <c r="N29" s="32" t="n"/>
    </row>
    <row r="30" ht="20.1" customHeight="1" s="136">
      <c r="A30" s="174" t="n"/>
      <c r="B30" s="26" t="n"/>
      <c r="C30" s="26" t="n"/>
      <c r="D30" s="27" t="n"/>
      <c r="E30" s="26" t="n"/>
      <c r="F30" s="26" t="n"/>
      <c r="G30" s="26" t="n"/>
      <c r="H30" s="28">
        <f>E30*F30</f>
        <v/>
      </c>
      <c r="I30" s="35">
        <f>E30*G30</f>
        <v/>
      </c>
      <c r="J30" s="26" t="n"/>
      <c r="K30" s="26" t="n"/>
      <c r="L30" s="26" t="n"/>
      <c r="M30" s="26" t="n"/>
      <c r="N30" s="32" t="n"/>
    </row>
    <row r="31" ht="20.1" customHeight="1" s="136">
      <c r="A31" s="174" t="n"/>
      <c r="B31" s="26" t="n"/>
      <c r="C31" s="26" t="n"/>
      <c r="D31" s="27" t="n"/>
      <c r="E31" s="26" t="n"/>
      <c r="F31" s="26" t="n"/>
      <c r="G31" s="26" t="n"/>
      <c r="H31" s="28">
        <f>E31*F31</f>
        <v/>
      </c>
      <c r="I31" s="35">
        <f>E31*G31</f>
        <v/>
      </c>
      <c r="J31" s="26" t="n"/>
      <c r="K31" s="26" t="n"/>
      <c r="L31" s="26" t="n"/>
      <c r="M31" s="32" t="n"/>
      <c r="N31" s="32" t="n"/>
    </row>
    <row r="32" ht="20.1" customHeight="1" s="136">
      <c r="A32" s="174" t="n"/>
      <c r="B32" s="26" t="n"/>
      <c r="C32" s="26" t="n"/>
      <c r="D32" s="27" t="n"/>
      <c r="E32" s="26" t="n"/>
      <c r="F32" s="26" t="n"/>
      <c r="G32" s="26" t="n"/>
      <c r="H32" s="28">
        <f>E32*F32</f>
        <v/>
      </c>
      <c r="I32" s="35">
        <f>E32*G32</f>
        <v/>
      </c>
      <c r="J32" s="26" t="n"/>
      <c r="K32" s="26" t="n"/>
      <c r="L32" s="26" t="n"/>
      <c r="M32" s="26" t="n"/>
      <c r="N32" s="32" t="n"/>
    </row>
    <row r="33" ht="20.1" customHeight="1" s="136">
      <c r="A33" s="174" t="n"/>
      <c r="B33" s="26" t="n"/>
      <c r="C33" s="26" t="n"/>
      <c r="D33" s="27" t="n"/>
      <c r="E33" s="26" t="n"/>
      <c r="F33" s="26" t="n"/>
      <c r="G33" s="26" t="n"/>
      <c r="H33" s="28">
        <f>E33*F33</f>
        <v/>
      </c>
      <c r="I33" s="35">
        <f>E33*G33</f>
        <v/>
      </c>
      <c r="J33" s="26" t="n"/>
      <c r="K33" s="26" t="n"/>
      <c r="L33" s="26" t="n"/>
      <c r="M33" s="26" t="n"/>
      <c r="N33" s="32" t="n"/>
    </row>
    <row r="34" ht="20.1" customHeight="1" s="136">
      <c r="A34" s="174" t="n"/>
      <c r="B34" s="26" t="n"/>
      <c r="C34" s="26" t="n"/>
      <c r="D34" s="27" t="n"/>
      <c r="E34" s="26" t="n"/>
      <c r="F34" s="26" t="n"/>
      <c r="G34" s="26" t="n"/>
      <c r="H34" s="28">
        <f>E34*F34</f>
        <v/>
      </c>
      <c r="I34" s="35">
        <f>E34*G34</f>
        <v/>
      </c>
      <c r="J34" s="26" t="n"/>
      <c r="K34" s="26" t="n"/>
      <c r="L34" s="26" t="n"/>
      <c r="M34" s="26" t="n"/>
      <c r="N34" s="32" t="n"/>
    </row>
    <row r="35" ht="20.1" customHeight="1" s="136">
      <c r="A35" s="174" t="n"/>
      <c r="B35" s="26" t="n"/>
      <c r="C35" s="26" t="n"/>
      <c r="E35" s="26" t="n"/>
      <c r="F35" s="26" t="n"/>
      <c r="G35" s="26" t="n"/>
      <c r="H35" s="28">
        <f>E35*F35</f>
        <v/>
      </c>
      <c r="I35" s="35">
        <f>E35*G35</f>
        <v/>
      </c>
      <c r="J35" s="26" t="n"/>
      <c r="K35" s="26" t="n"/>
      <c r="L35" s="26" t="n"/>
      <c r="M35" s="26" t="n"/>
      <c r="N35" s="32" t="n"/>
    </row>
    <row r="36" ht="20.1" customHeight="1" s="136">
      <c r="A36" s="152" t="n"/>
      <c r="B36" s="26" t="n"/>
      <c r="C36" s="26" t="n"/>
      <c r="D36" s="27" t="n"/>
      <c r="E36" s="26" t="n"/>
      <c r="F36" s="26" t="n"/>
      <c r="G36" s="26" t="n"/>
      <c r="H36" s="28">
        <f>E36*F36</f>
        <v/>
      </c>
      <c r="I36" s="35">
        <f>E36*G36</f>
        <v/>
      </c>
      <c r="J36" s="26" t="n"/>
      <c r="K36" s="175" t="n"/>
      <c r="L36" s="26" t="n"/>
      <c r="M36" s="26" t="n"/>
      <c r="N36" s="32" t="n"/>
    </row>
    <row r="37" ht="20.1" customHeight="1" s="136">
      <c r="A37" s="116" t="inlineStr">
        <is>
          <t>房</t>
        </is>
      </c>
      <c r="B37" s="26" t="n"/>
      <c r="C37" s="26" t="n"/>
      <c r="D37" s="27" t="n"/>
      <c r="E37" s="26" t="n"/>
      <c r="F37" s="26" t="n"/>
      <c r="G37" s="26" t="n"/>
      <c r="H37" s="28">
        <f>E37*F37</f>
        <v/>
      </c>
      <c r="I37" s="35">
        <f>E37*G37</f>
        <v/>
      </c>
      <c r="J37" s="26" t="n"/>
      <c r="K37" s="26" t="n"/>
      <c r="L37" s="26" t="n"/>
      <c r="M37" s="32" t="n"/>
      <c r="N37" s="32" t="n"/>
    </row>
    <row r="38" ht="20.1" customHeight="1" s="136">
      <c r="A38" s="174" t="n"/>
      <c r="B38" s="26" t="n"/>
      <c r="C38" s="26" t="n"/>
      <c r="D38" s="27" t="n"/>
      <c r="E38" s="26" t="n"/>
      <c r="F38" s="26" t="n"/>
      <c r="G38" s="26" t="n"/>
      <c r="H38" s="28">
        <f>E38*F38</f>
        <v/>
      </c>
      <c r="I38" s="35">
        <f>E38*G38</f>
        <v/>
      </c>
      <c r="J38" s="26" t="n"/>
      <c r="K38" s="26" t="n"/>
      <c r="L38" s="26" t="n"/>
      <c r="M38" s="32" t="n"/>
      <c r="N38" s="32" t="n"/>
    </row>
    <row r="39" ht="20.1" customHeight="1" s="136">
      <c r="A39" s="174" t="n"/>
      <c r="B39" s="26" t="n"/>
      <c r="C39" s="26" t="n"/>
      <c r="D39" s="27" t="n"/>
      <c r="E39" s="26" t="n"/>
      <c r="F39" s="26" t="n"/>
      <c r="G39" s="26" t="n"/>
      <c r="H39" s="28">
        <f>E39*F39</f>
        <v/>
      </c>
      <c r="I39" s="35">
        <f>E39*G39</f>
        <v/>
      </c>
      <c r="J39" s="26" t="n"/>
      <c r="K39" s="26" t="n"/>
      <c r="L39" s="26" t="n"/>
      <c r="M39" s="32" t="n"/>
      <c r="N39" s="32" t="n"/>
    </row>
    <row r="40" ht="20.1" customHeight="1" s="136">
      <c r="A40" s="174" t="n"/>
      <c r="B40" s="26" t="n"/>
      <c r="C40" s="26" t="n"/>
      <c r="D40" s="27" t="n"/>
      <c r="E40" s="26" t="n"/>
      <c r="F40" s="26" t="n"/>
      <c r="G40" s="26" t="n"/>
      <c r="H40" s="28">
        <f>E40*F40</f>
        <v/>
      </c>
      <c r="I40" s="35">
        <f>E40*G40</f>
        <v/>
      </c>
      <c r="J40" s="26" t="n"/>
      <c r="K40" s="26" t="n"/>
      <c r="L40" s="26" t="n"/>
      <c r="M40" s="32" t="n"/>
      <c r="N40" s="32" t="n"/>
    </row>
    <row r="41" ht="20.1" customHeight="1" s="136">
      <c r="A41" s="174" t="n"/>
      <c r="B41" s="26" t="n"/>
      <c r="C41" s="26" t="n"/>
      <c r="D41" s="27" t="n"/>
      <c r="E41" s="26" t="n"/>
      <c r="F41" s="26" t="n"/>
      <c r="G41" s="26" t="n"/>
      <c r="H41" s="28">
        <f>E41*F41</f>
        <v/>
      </c>
      <c r="I41" s="35">
        <f>E41*G41</f>
        <v/>
      </c>
      <c r="J41" s="26" t="n"/>
      <c r="K41" s="26" t="n"/>
      <c r="L41" s="26" t="n"/>
      <c r="M41" s="32" t="n"/>
      <c r="N41" s="32" t="n"/>
    </row>
    <row r="42" ht="20.1" customHeight="1" s="136">
      <c r="A42" s="174" t="n"/>
      <c r="B42" s="26" t="n"/>
      <c r="C42" s="26" t="n"/>
      <c r="D42" s="27" t="n"/>
      <c r="E42" s="26" t="n"/>
      <c r="F42" s="26" t="n"/>
      <c r="G42" s="26" t="n"/>
      <c r="H42" s="28">
        <f>E42*F42</f>
        <v/>
      </c>
      <c r="I42" s="35">
        <f>E42*G42</f>
        <v/>
      </c>
      <c r="J42" s="26" t="n"/>
      <c r="K42" s="26" t="n"/>
      <c r="L42" s="26" t="n"/>
      <c r="M42" s="32" t="n"/>
      <c r="N42" s="32" t="n"/>
    </row>
    <row r="43" ht="20.1" customHeight="1" s="136">
      <c r="A43" s="174" t="n"/>
      <c r="B43" s="26" t="n"/>
      <c r="C43" s="26" t="n"/>
      <c r="D43" s="27" t="n"/>
      <c r="E43" s="26" t="n"/>
      <c r="F43" s="26" t="n"/>
      <c r="G43" s="26" t="n"/>
      <c r="H43" s="28">
        <f>E43*F43</f>
        <v/>
      </c>
      <c r="I43" s="35">
        <f>E43*G43</f>
        <v/>
      </c>
      <c r="J43" s="26" t="n"/>
      <c r="K43" s="26" t="n"/>
      <c r="L43" s="26" t="n"/>
      <c r="M43" s="32" t="n"/>
      <c r="N43" s="32" t="n"/>
    </row>
    <row r="44" ht="20.1" customHeight="1" s="136">
      <c r="A44" s="174" t="n"/>
      <c r="B44" s="26" t="n"/>
      <c r="C44" s="26" t="n"/>
      <c r="D44" s="27" t="n"/>
      <c r="E44" s="26" t="n"/>
      <c r="F44" s="26" t="n"/>
      <c r="G44" s="26" t="n"/>
      <c r="H44" s="28">
        <f>E44*F44</f>
        <v/>
      </c>
      <c r="I44" s="35">
        <f>E44*G44</f>
        <v/>
      </c>
      <c r="J44" s="26" t="n"/>
      <c r="K44" s="26" t="n"/>
      <c r="L44" s="26" t="n"/>
      <c r="M44" s="32" t="n"/>
      <c r="N44" s="32" t="n"/>
    </row>
    <row r="45" ht="20.1" customHeight="1" s="136">
      <c r="A45" s="152" t="n"/>
      <c r="B45" s="26" t="n"/>
      <c r="C45" s="26" t="n"/>
      <c r="D45" s="27" t="n"/>
      <c r="E45" s="26" t="n"/>
      <c r="F45" s="26" t="n"/>
      <c r="G45" s="26" t="n"/>
      <c r="H45" s="28">
        <f>E45*F45</f>
        <v/>
      </c>
      <c r="I45" s="35">
        <f>E45*G45</f>
        <v/>
      </c>
      <c r="J45" s="26" t="n"/>
      <c r="K45" s="26" t="n"/>
      <c r="L45" s="26" t="n"/>
      <c r="M45" s="32" t="n"/>
      <c r="N45" s="32" t="n"/>
    </row>
    <row r="46" ht="20.1" customHeight="1" s="136">
      <c r="A46" s="117" t="inlineStr">
        <is>
          <t>家 
电</t>
        </is>
      </c>
      <c r="B46" s="26" t="n"/>
      <c r="C46" s="26" t="n"/>
      <c r="D46" s="27" t="n"/>
      <c r="E46" s="26" t="n"/>
      <c r="F46" s="26" t="n"/>
      <c r="G46" s="26" t="n"/>
      <c r="H46" s="28">
        <f>E46*F46</f>
        <v/>
      </c>
      <c r="I46" s="35">
        <f>E46*G46</f>
        <v/>
      </c>
      <c r="J46" s="26" t="n"/>
      <c r="K46" s="26" t="n"/>
      <c r="L46" s="26" t="n"/>
      <c r="M46" s="32" t="n"/>
      <c r="N46" s="32" t="n"/>
    </row>
    <row r="47" ht="20.1" customHeight="1" s="136">
      <c r="A47" s="174" t="n"/>
      <c r="B47" s="26" t="n"/>
      <c r="C47" s="26" t="n"/>
      <c r="D47" s="27" t="n"/>
      <c r="E47" s="176" t="n"/>
      <c r="F47" s="26" t="n"/>
      <c r="G47" s="26" t="n"/>
      <c r="H47" s="28">
        <f>E47*F47</f>
        <v/>
      </c>
      <c r="I47" s="35">
        <f>E47*G47</f>
        <v/>
      </c>
      <c r="J47" s="26" t="n"/>
      <c r="K47" s="26" t="n"/>
      <c r="L47" s="26" t="n"/>
      <c r="M47" s="32" t="n"/>
      <c r="N47" s="32" t="n"/>
    </row>
    <row r="48" ht="20.1" customHeight="1" s="136">
      <c r="A48" s="174" t="n"/>
      <c r="B48" s="26" t="n"/>
      <c r="C48" s="26" t="n"/>
      <c r="D48" s="27" t="n"/>
      <c r="E48" s="26" t="n"/>
      <c r="F48" s="26" t="n"/>
      <c r="G48" s="26" t="n"/>
      <c r="H48" s="28">
        <f>E48*F48</f>
        <v/>
      </c>
      <c r="I48" s="35">
        <f>E48*G48</f>
        <v/>
      </c>
      <c r="J48" s="26" t="n"/>
      <c r="K48" s="26" t="n"/>
      <c r="L48" s="26" t="n"/>
      <c r="M48" s="32" t="n"/>
      <c r="N48" s="32" t="n"/>
    </row>
    <row r="49" ht="20.1" customHeight="1" s="136">
      <c r="A49" s="174" t="n"/>
      <c r="B49" s="26" t="n"/>
      <c r="C49" s="26" t="n"/>
      <c r="D49" s="27" t="n"/>
      <c r="E49" s="26" t="n"/>
      <c r="F49" s="26" t="n"/>
      <c r="G49" s="26" t="n"/>
      <c r="H49" s="28">
        <f>E49*F49</f>
        <v/>
      </c>
      <c r="I49" s="35">
        <f>E49*G49</f>
        <v/>
      </c>
      <c r="J49" s="26" t="n"/>
      <c r="K49" s="26" t="n"/>
      <c r="L49" s="26" t="n"/>
      <c r="M49" s="26" t="n"/>
      <c r="N49" s="32" t="n"/>
    </row>
    <row r="50" ht="20.1" customHeight="1" s="136">
      <c r="A50" s="174" t="n"/>
      <c r="B50" s="26" t="n"/>
      <c r="C50" s="32" t="n"/>
      <c r="D50" s="29" t="n"/>
      <c r="E50" s="26" t="n"/>
      <c r="F50" s="26" t="n"/>
      <c r="G50" s="26" t="n"/>
      <c r="H50" s="28">
        <f>E50*F50</f>
        <v/>
      </c>
      <c r="I50" s="35">
        <f>E50*G50</f>
        <v/>
      </c>
      <c r="J50" s="26" t="n"/>
      <c r="K50" s="26" t="n"/>
      <c r="L50" s="26" t="n"/>
      <c r="M50" s="32" t="n"/>
      <c r="N50" s="32" t="n"/>
    </row>
    <row r="51" ht="20.1" customHeight="1" s="136">
      <c r="A51" s="112" t="inlineStr">
        <is>
          <t>车</t>
        </is>
      </c>
      <c r="B51" s="26" t="n"/>
      <c r="C51" s="26" t="n"/>
      <c r="D51" s="27" t="n"/>
      <c r="E51" s="26" t="n"/>
      <c r="F51" s="26" t="n"/>
      <c r="G51" s="26" t="n"/>
      <c r="H51" s="28">
        <f>E51*F51</f>
        <v/>
      </c>
      <c r="I51" s="35">
        <f>E51*G51</f>
        <v/>
      </c>
      <c r="J51" s="26" t="n"/>
      <c r="K51" s="26" t="n"/>
      <c r="L51" s="26" t="n"/>
      <c r="M51" s="26" t="n"/>
      <c r="N51" s="32" t="n"/>
    </row>
    <row r="52" ht="20.1" customHeight="1" s="136">
      <c r="A52" s="174" t="n"/>
      <c r="B52" s="26" t="n"/>
      <c r="C52" s="26" t="n"/>
      <c r="D52" s="27" t="n"/>
      <c r="E52" s="26" t="n"/>
      <c r="F52" s="26" t="n"/>
      <c r="G52" s="26" t="n"/>
      <c r="H52" s="28">
        <f>E52*F52</f>
        <v/>
      </c>
      <c r="I52" s="35">
        <f>E52*G52</f>
        <v/>
      </c>
      <c r="J52" s="26" t="n"/>
      <c r="K52" s="26" t="n"/>
      <c r="L52" s="26" t="n"/>
      <c r="M52" s="26" t="n"/>
      <c r="N52" s="32" t="n"/>
    </row>
    <row r="53" ht="20.1" customHeight="1" s="136">
      <c r="A53" s="174" t="n"/>
      <c r="B53" s="26" t="n"/>
      <c r="C53" s="26" t="n"/>
      <c r="D53" s="27" t="n"/>
      <c r="E53" s="26" t="n"/>
      <c r="F53" s="26" t="n"/>
      <c r="G53" s="26" t="n"/>
      <c r="H53" s="28">
        <f>E53*F53</f>
        <v/>
      </c>
      <c r="I53" s="35">
        <f>E53*G53</f>
        <v/>
      </c>
      <c r="J53" s="26" t="n"/>
      <c r="K53" s="26" t="n"/>
      <c r="L53" s="26" t="n"/>
      <c r="M53" s="26" t="n"/>
      <c r="N53" s="32" t="n"/>
    </row>
    <row r="54" ht="20.1" customHeight="1" s="136">
      <c r="A54" s="174" t="n"/>
      <c r="B54" s="26" t="n"/>
      <c r="C54" s="26" t="n"/>
      <c r="D54" s="27" t="n"/>
      <c r="E54" s="26" t="n"/>
      <c r="F54" s="26" t="n"/>
      <c r="G54" s="26" t="n"/>
      <c r="H54" s="28">
        <f>E54*F54</f>
        <v/>
      </c>
      <c r="I54" s="35">
        <f>E54*G54</f>
        <v/>
      </c>
      <c r="J54" s="26" t="n"/>
      <c r="K54" s="26" t="n"/>
      <c r="L54" s="26" t="n"/>
      <c r="M54" s="32" t="n"/>
      <c r="N54" s="32" t="n"/>
    </row>
    <row r="55" ht="20.1" customHeight="1" s="136">
      <c r="A55" s="174" t="n"/>
      <c r="B55" s="26" t="n"/>
      <c r="C55" s="26" t="n"/>
      <c r="D55" s="27" t="n"/>
      <c r="E55" s="176" t="n"/>
      <c r="F55" s="26" t="n"/>
      <c r="G55" s="26" t="n"/>
      <c r="H55" s="28">
        <f>E55*F55</f>
        <v/>
      </c>
      <c r="I55" s="35">
        <f>E55*G55</f>
        <v/>
      </c>
      <c r="J55" s="26" t="n"/>
      <c r="K55" s="26" t="n"/>
      <c r="L55" s="26" t="n"/>
      <c r="M55" s="32" t="n"/>
      <c r="N55" s="32" t="n"/>
    </row>
    <row r="56" ht="20.1" customHeight="1" s="136">
      <c r="A56" s="174" t="n"/>
      <c r="B56" s="26" t="n"/>
      <c r="C56" s="26" t="n"/>
      <c r="D56" s="27" t="n"/>
      <c r="E56" s="26" t="n"/>
      <c r="F56" s="26" t="n"/>
      <c r="G56" s="26" t="n"/>
      <c r="H56" s="28">
        <f>E56*F56</f>
        <v/>
      </c>
      <c r="I56" s="35">
        <f>E56*G56</f>
        <v/>
      </c>
      <c r="J56" s="26" t="n"/>
      <c r="K56" s="26" t="n"/>
      <c r="L56" s="26" t="n"/>
      <c r="M56" s="26" t="n"/>
      <c r="N56" s="32" t="n"/>
    </row>
    <row r="57" ht="20.1" customHeight="1" s="136">
      <c r="A57" s="174" t="n"/>
      <c r="B57" s="26" t="n"/>
      <c r="C57" s="26" t="n"/>
      <c r="D57" s="27" t="n"/>
      <c r="E57" s="26" t="n"/>
      <c r="F57" s="26" t="n"/>
      <c r="G57" s="26" t="n"/>
      <c r="H57" s="28">
        <f>E57*F57</f>
        <v/>
      </c>
      <c r="I57" s="35">
        <f>E57*G57</f>
        <v/>
      </c>
      <c r="J57" s="26" t="n"/>
      <c r="K57" s="26" t="n"/>
      <c r="L57" s="26" t="n"/>
      <c r="M57" s="26" t="n"/>
      <c r="N57" s="32" t="n"/>
    </row>
    <row r="58" ht="20.1" customHeight="1" s="136">
      <c r="A58" s="174" t="n"/>
      <c r="B58" s="26" t="n"/>
      <c r="C58" s="26" t="n"/>
      <c r="D58" s="27" t="n"/>
      <c r="E58" s="26" t="n"/>
      <c r="F58" s="26" t="n"/>
      <c r="G58" s="26" t="n"/>
      <c r="H58" s="28">
        <f>E58*F58</f>
        <v/>
      </c>
      <c r="I58" s="35">
        <f>E58*G58</f>
        <v/>
      </c>
      <c r="J58" s="26" t="n"/>
      <c r="K58" s="26" t="n"/>
      <c r="L58" s="26" t="n"/>
      <c r="M58" s="26" t="n"/>
      <c r="N58" s="32" t="n"/>
    </row>
    <row r="59" ht="20.1" customHeight="1" s="136">
      <c r="A59" s="152" t="n"/>
      <c r="B59" s="26" t="n"/>
      <c r="C59" s="26" t="n"/>
      <c r="D59" s="27" t="n"/>
      <c r="E59" s="26" t="n"/>
      <c r="F59" s="26" t="n"/>
      <c r="G59" s="26" t="n"/>
      <c r="H59" s="28">
        <f>E59*F59</f>
        <v/>
      </c>
      <c r="I59" s="35">
        <f>E59*G59</f>
        <v/>
      </c>
      <c r="J59" s="26" t="n"/>
      <c r="K59" s="26" t="n"/>
      <c r="L59" s="26" t="n"/>
      <c r="M59" s="26" t="n"/>
      <c r="N59" s="32" t="n"/>
    </row>
    <row r="60" ht="20.1" customHeight="1" s="136">
      <c r="A60" s="116" t="inlineStr">
        <is>
          <t>银   
行</t>
        </is>
      </c>
      <c r="B60" s="26" t="n"/>
      <c r="C60" s="26" t="n"/>
      <c r="D60" s="27" t="n"/>
      <c r="E60" s="26" t="n"/>
      <c r="F60" s="26" t="n"/>
      <c r="G60" s="26" t="n"/>
      <c r="H60" s="28">
        <f>E60*F60</f>
        <v/>
      </c>
      <c r="I60" s="35">
        <f>E60*G60</f>
        <v/>
      </c>
      <c r="J60" s="26" t="n"/>
      <c r="K60" s="26" t="n"/>
      <c r="L60" s="26" t="n"/>
      <c r="M60" s="32" t="n"/>
      <c r="N60" s="32" t="n"/>
    </row>
    <row r="61" ht="20.1" customHeight="1" s="136">
      <c r="A61" s="174" t="n"/>
      <c r="B61" s="26" t="n"/>
      <c r="C61" s="26" t="n"/>
      <c r="D61" s="27" t="n"/>
      <c r="E61" s="26" t="n"/>
      <c r="F61" s="26" t="n"/>
      <c r="G61" s="26" t="n"/>
      <c r="H61" s="28">
        <f>E61*F61</f>
        <v/>
      </c>
      <c r="I61" s="35">
        <f>E61*G61</f>
        <v/>
      </c>
      <c r="J61" s="26" t="n"/>
      <c r="K61" s="26" t="n"/>
      <c r="L61" s="26" t="n"/>
      <c r="M61" s="32" t="n"/>
      <c r="N61" s="32" t="n"/>
    </row>
    <row r="62" ht="20.1" customHeight="1" s="136">
      <c r="A62" s="174" t="n"/>
      <c r="B62" s="26" t="n"/>
      <c r="C62" s="26" t="n"/>
      <c r="D62" s="27" t="n"/>
      <c r="E62" s="26" t="n"/>
      <c r="F62" s="26" t="n"/>
      <c r="G62" s="26" t="n"/>
      <c r="H62" s="28">
        <f>E62*F62</f>
        <v/>
      </c>
      <c r="I62" s="35">
        <f>E62*G62</f>
        <v/>
      </c>
      <c r="J62" s="26" t="n"/>
      <c r="K62" s="26" t="n"/>
      <c r="L62" s="26" t="n"/>
      <c r="M62" s="32" t="n"/>
      <c r="N62" s="32" t="n"/>
    </row>
    <row r="63" ht="20.1" customHeight="1" s="136">
      <c r="A63" s="174" t="n"/>
      <c r="B63" s="26" t="n"/>
      <c r="C63" s="26" t="n"/>
      <c r="D63" s="27" t="n"/>
      <c r="E63" s="26" t="n"/>
      <c r="F63" s="26" t="n"/>
      <c r="G63" s="26" t="n"/>
      <c r="H63" s="28">
        <f>E63*F63</f>
        <v/>
      </c>
      <c r="I63" s="35">
        <f>E63*G63</f>
        <v/>
      </c>
      <c r="J63" s="26" t="n"/>
      <c r="K63" s="26" t="n"/>
      <c r="L63" s="26" t="n"/>
      <c r="M63" s="32" t="n"/>
      <c r="N63" s="32" t="n"/>
    </row>
    <row r="64" ht="20.1" customHeight="1" s="136">
      <c r="A64" s="174" t="n"/>
      <c r="B64" s="26" t="n"/>
      <c r="C64" s="26" t="n"/>
      <c r="D64" s="27" t="n"/>
      <c r="E64" s="26" t="n"/>
      <c r="F64" s="26" t="n"/>
      <c r="G64" s="26" t="n"/>
      <c r="H64" s="28">
        <f>E64*F64</f>
        <v/>
      </c>
      <c r="I64" s="35">
        <f>E64*G64</f>
        <v/>
      </c>
      <c r="J64" s="26" t="n"/>
      <c r="K64" s="26" t="n"/>
      <c r="L64" s="26" t="n"/>
      <c r="M64" s="32" t="n"/>
      <c r="N64" s="32" t="n"/>
    </row>
    <row r="65" ht="20.1" customHeight="1" s="136">
      <c r="A65" s="174" t="n"/>
      <c r="B65" s="26" t="n"/>
      <c r="C65" s="26" t="n"/>
      <c r="D65" s="27" t="n"/>
      <c r="E65" s="26" t="n"/>
      <c r="F65" s="26" t="n"/>
      <c r="G65" s="26" t="n"/>
      <c r="H65" s="28">
        <f>E65*F65</f>
        <v/>
      </c>
      <c r="I65" s="35">
        <f>E65*G65</f>
        <v/>
      </c>
      <c r="J65" s="26" t="n"/>
      <c r="K65" s="26" t="n"/>
      <c r="L65" s="26" t="n"/>
      <c r="M65" s="32" t="n"/>
      <c r="N65" s="32" t="n"/>
    </row>
    <row r="66" ht="20.1" customHeight="1" s="136">
      <c r="A66" s="174" t="n"/>
      <c r="B66" s="26" t="n"/>
      <c r="C66" s="26" t="n"/>
      <c r="D66" s="27" t="n"/>
      <c r="E66" s="26" t="n"/>
      <c r="F66" s="26" t="n"/>
      <c r="G66" s="26" t="n"/>
      <c r="H66" s="28">
        <f>E66*F66</f>
        <v/>
      </c>
      <c r="I66" s="35">
        <f>E66*G66</f>
        <v/>
      </c>
      <c r="J66" s="26" t="n"/>
      <c r="K66" s="26" t="n"/>
      <c r="L66" s="26" t="n"/>
      <c r="M66" s="32" t="n"/>
      <c r="N66" s="32" t="n"/>
    </row>
    <row r="67" ht="20.1" customHeight="1" s="136">
      <c r="A67" s="174" t="n"/>
      <c r="B67" s="26" t="n"/>
      <c r="C67" s="26" t="n"/>
      <c r="D67" s="27" t="n"/>
      <c r="E67" s="26" t="n"/>
      <c r="F67" s="26" t="n"/>
      <c r="G67" s="26" t="n"/>
      <c r="H67" s="28">
        <f>E67*F67</f>
        <v/>
      </c>
      <c r="I67" s="35">
        <f>E67*G67</f>
        <v/>
      </c>
      <c r="J67" s="26" t="n"/>
      <c r="K67" s="26" t="n"/>
      <c r="L67" s="26" t="n"/>
      <c r="M67" s="26" t="n"/>
      <c r="N67" s="32" t="n"/>
    </row>
    <row r="68" ht="20.1" customHeight="1" s="136">
      <c r="A68" s="174" t="n"/>
      <c r="B68" s="26" t="n"/>
      <c r="C68" s="26" t="n"/>
      <c r="D68" s="27" t="n"/>
      <c r="E68" s="26" t="n"/>
      <c r="F68" s="26" t="n"/>
      <c r="G68" s="26" t="n"/>
      <c r="H68" s="28">
        <f>E68*F68</f>
        <v/>
      </c>
      <c r="I68" s="35">
        <f>E68*G68</f>
        <v/>
      </c>
      <c r="J68" s="26" t="n"/>
      <c r="K68" s="26" t="n"/>
      <c r="L68" s="26" t="n"/>
      <c r="M68" s="26" t="n"/>
      <c r="N68" s="32" t="n"/>
    </row>
    <row r="69" ht="20.1" customHeight="1" s="136">
      <c r="A69" s="174" t="n"/>
      <c r="B69" s="26" t="n"/>
      <c r="C69" s="26" t="n"/>
      <c r="D69" s="27" t="n"/>
      <c r="E69" s="32" t="n"/>
      <c r="F69" s="26" t="n"/>
      <c r="G69" s="26" t="n"/>
      <c r="H69" s="28">
        <f>E69*F69</f>
        <v/>
      </c>
      <c r="I69" s="35">
        <f>E69*G69</f>
        <v/>
      </c>
      <c r="J69" s="26" t="n"/>
      <c r="K69" s="26" t="n"/>
      <c r="L69" s="26" t="n"/>
      <c r="M69" s="32" t="n"/>
      <c r="N69" s="32" t="n"/>
    </row>
    <row r="70" ht="20.1" customHeight="1" s="136">
      <c r="A70" s="174" t="n"/>
      <c r="B70" s="26" t="n"/>
      <c r="C70" s="26" t="n"/>
      <c r="D70" s="27" t="n"/>
      <c r="E70" s="26" t="n"/>
      <c r="F70" s="26" t="n"/>
      <c r="G70" s="26" t="n"/>
      <c r="H70" s="28">
        <f>E70*F70</f>
        <v/>
      </c>
      <c r="I70" s="35">
        <f>E70*G70</f>
        <v/>
      </c>
      <c r="J70" s="26" t="n"/>
      <c r="K70" s="26" t="n"/>
      <c r="L70" s="26" t="n"/>
      <c r="M70" s="26" t="n"/>
      <c r="N70" s="32" t="n"/>
    </row>
    <row r="71" ht="20.1" customHeight="1" s="136">
      <c r="A71" s="152" t="n"/>
      <c r="B71" s="26" t="n"/>
      <c r="C71" s="26" t="n"/>
      <c r="D71" s="27" t="n"/>
      <c r="E71" s="26" t="n"/>
      <c r="F71" s="26" t="n"/>
      <c r="G71" s="26" t="n"/>
      <c r="H71" s="28">
        <f>E71*F71</f>
        <v/>
      </c>
      <c r="I71" s="35">
        <f>E71*G71</f>
        <v/>
      </c>
      <c r="J71" s="26" t="n"/>
      <c r="K71" s="26" t="n"/>
      <c r="L71" s="26" t="n"/>
      <c r="M71" s="32" t="n"/>
      <c r="N71" s="32" t="n"/>
    </row>
    <row r="72" ht="20.1" customHeight="1" s="136">
      <c r="A72" s="116" t="inlineStr">
        <is>
          <t>保
险</t>
        </is>
      </c>
      <c r="B72" s="26" t="n"/>
      <c r="C72" s="26" t="n"/>
      <c r="D72" s="27" t="n"/>
      <c r="E72" s="26" t="n"/>
      <c r="F72" s="26" t="n"/>
      <c r="G72" s="26" t="n"/>
      <c r="H72" s="28">
        <f>E72*F72</f>
        <v/>
      </c>
      <c r="I72" s="35">
        <f>E72*G72</f>
        <v/>
      </c>
      <c r="J72" s="26" t="n"/>
      <c r="K72" s="26" t="n"/>
      <c r="L72" s="26" t="n"/>
      <c r="M72" s="32" t="n"/>
      <c r="N72" s="32" t="n"/>
    </row>
    <row r="73" ht="20.1" customHeight="1" s="136">
      <c r="A73" s="174" t="n"/>
      <c r="B73" s="26" t="n"/>
      <c r="C73" s="26" t="n"/>
      <c r="D73" s="27" t="n"/>
      <c r="E73" s="26" t="n"/>
      <c r="F73" s="26" t="n"/>
      <c r="G73" s="26" t="n"/>
      <c r="H73" s="28">
        <f>E73*F73</f>
        <v/>
      </c>
      <c r="I73" s="35">
        <f>E73*G73</f>
        <v/>
      </c>
      <c r="J73" s="26" t="n"/>
      <c r="K73" s="26" t="n"/>
      <c r="L73" s="26" t="n"/>
      <c r="M73" s="32" t="n"/>
      <c r="N73" s="32" t="n"/>
    </row>
    <row r="74" ht="20.1" customHeight="1" s="136">
      <c r="A74" s="152" t="n"/>
      <c r="B74" s="26" t="n"/>
      <c r="C74" s="26" t="n"/>
      <c r="D74" s="27" t="n"/>
      <c r="E74" s="26" t="n"/>
      <c r="F74" s="26" t="n"/>
      <c r="G74" s="26" t="n"/>
      <c r="H74" s="28">
        <f>E74*F74</f>
        <v/>
      </c>
      <c r="I74" s="35">
        <f>E74*G74</f>
        <v/>
      </c>
      <c r="J74" s="26" t="n"/>
      <c r="K74" s="26" t="n"/>
      <c r="L74" s="26" t="n"/>
      <c r="M74" s="32" t="n"/>
      <c r="N74" s="32" t="n"/>
    </row>
    <row r="75" ht="20.1" customHeight="1" s="136">
      <c r="A75" s="116" t="inlineStr">
        <is>
          <t>能
源</t>
        </is>
      </c>
      <c r="B75" s="26" t="n"/>
      <c r="C75" s="26" t="n"/>
      <c r="D75" s="27" t="n"/>
      <c r="E75" s="26" t="n"/>
      <c r="F75" s="26" t="n"/>
      <c r="G75" s="26" t="n"/>
      <c r="H75" s="28">
        <f>E75*F75</f>
        <v/>
      </c>
      <c r="I75" s="35">
        <f>E75*G75</f>
        <v/>
      </c>
      <c r="J75" s="26" t="n"/>
      <c r="K75" s="26" t="n"/>
      <c r="L75" s="26" t="n"/>
      <c r="M75" s="26" t="n"/>
      <c r="N75" s="32" t="n"/>
    </row>
    <row r="76" ht="20.1" customHeight="1" s="136">
      <c r="A76" s="174" t="n"/>
      <c r="B76" s="38" t="n"/>
      <c r="C76" s="32" t="n"/>
      <c r="D76" s="29" t="n"/>
      <c r="E76" s="26" t="n"/>
      <c r="F76" s="26" t="n"/>
      <c r="G76" s="26" t="n"/>
      <c r="H76" s="28">
        <f>E76*F76</f>
        <v/>
      </c>
      <c r="I76" s="35">
        <f>E76*G76</f>
        <v/>
      </c>
      <c r="J76" s="26" t="n"/>
      <c r="K76" s="26" t="n"/>
      <c r="L76" s="26" t="n"/>
      <c r="M76" s="26" t="n"/>
      <c r="N76" s="32" t="n"/>
    </row>
    <row r="77" ht="20.1" customHeight="1" s="136">
      <c r="A77" s="174" t="n"/>
      <c r="B77" s="38" t="n"/>
      <c r="C77" s="32" t="n"/>
      <c r="D77" s="29" t="n"/>
      <c r="E77" s="26" t="n"/>
      <c r="F77" s="26" t="n"/>
      <c r="G77" s="26" t="n"/>
      <c r="H77" s="28">
        <f>E77*F77</f>
        <v/>
      </c>
      <c r="I77" s="35">
        <f>E77*G77</f>
        <v/>
      </c>
      <c r="J77" s="26" t="n"/>
      <c r="K77" s="26" t="n"/>
      <c r="L77" s="26" t="n"/>
      <c r="M77" s="26" t="n"/>
      <c r="N77" s="32" t="n"/>
    </row>
    <row r="78" ht="20.1" customHeight="1" s="136">
      <c r="A78" s="174" t="n"/>
      <c r="B78" s="38" t="n"/>
      <c r="C78" s="32" t="n"/>
      <c r="D78" s="29" t="n"/>
      <c r="E78" s="26" t="n"/>
      <c r="F78" s="26" t="n"/>
      <c r="G78" s="26" t="n"/>
      <c r="H78" s="28">
        <f>E78*F78</f>
        <v/>
      </c>
      <c r="I78" s="35">
        <f>E78*G78</f>
        <v/>
      </c>
      <c r="J78" s="26" t="n"/>
      <c r="K78" s="26" t="n"/>
      <c r="L78" s="26" t="n"/>
      <c r="M78" s="26" t="n"/>
      <c r="N78" s="32" t="n"/>
    </row>
    <row r="79" ht="20.1" customHeight="1" s="136">
      <c r="A79" s="174" t="n"/>
      <c r="B79" s="38" t="n"/>
      <c r="C79" s="32" t="n"/>
      <c r="D79" s="29" t="n"/>
      <c r="E79" s="26" t="n"/>
      <c r="F79" s="26" t="n"/>
      <c r="G79" s="26" t="n"/>
      <c r="H79" s="28">
        <f>E79*F79</f>
        <v/>
      </c>
      <c r="I79" s="35">
        <f>E79*G79</f>
        <v/>
      </c>
      <c r="J79" s="26" t="n"/>
      <c r="K79" s="26" t="n"/>
      <c r="L79" s="26" t="n"/>
      <c r="M79" s="26" t="n"/>
      <c r="N79" s="32" t="n"/>
    </row>
    <row r="80" ht="20.1" customHeight="1" s="136">
      <c r="A80" s="174" t="n"/>
      <c r="B80" s="38" t="n"/>
      <c r="C80" s="32" t="n"/>
      <c r="D80" s="29" t="n"/>
      <c r="E80" s="26" t="n"/>
      <c r="F80" s="26" t="n"/>
      <c r="G80" s="26" t="n"/>
      <c r="H80" s="28">
        <f>E80*F80</f>
        <v/>
      </c>
      <c r="I80" s="35">
        <f>E80*G80</f>
        <v/>
      </c>
      <c r="J80" s="26" t="n"/>
      <c r="K80" s="26" t="n"/>
      <c r="L80" s="26" t="n"/>
      <c r="M80" s="26" t="n"/>
      <c r="N80" s="32" t="n"/>
    </row>
    <row r="81" ht="20.1" customHeight="1" s="136">
      <c r="A81" s="174" t="n"/>
      <c r="B81" s="38" t="n"/>
      <c r="C81" s="32" t="n"/>
      <c r="D81" s="29" t="n"/>
      <c r="E81" s="26" t="n"/>
      <c r="F81" s="26" t="n"/>
      <c r="G81" s="26" t="n"/>
      <c r="H81" s="28">
        <f>E81*F81</f>
        <v/>
      </c>
      <c r="I81" s="35">
        <f>E81*G81</f>
        <v/>
      </c>
      <c r="J81" s="26" t="n"/>
      <c r="K81" s="26" t="n"/>
      <c r="L81" s="26" t="n"/>
      <c r="M81" s="32" t="n"/>
      <c r="N81" s="32" t="n"/>
    </row>
    <row r="82" ht="20.1" customHeight="1" s="136">
      <c r="A82" s="174" t="n"/>
      <c r="B82" s="26" t="n"/>
      <c r="C82" s="26" t="n"/>
      <c r="D82" s="27" t="n"/>
      <c r="E82" s="26" t="n"/>
      <c r="F82" s="26" t="n"/>
      <c r="G82" s="26" t="n"/>
      <c r="H82" s="28">
        <f>E82*F82</f>
        <v/>
      </c>
      <c r="I82" s="35">
        <f>E82*G82</f>
        <v/>
      </c>
      <c r="J82" s="26" t="n"/>
      <c r="K82" s="26" t="n"/>
      <c r="L82" s="26" t="n"/>
      <c r="M82" s="26" t="n"/>
      <c r="N82" s="32" t="n"/>
    </row>
    <row r="83" ht="20.1" customHeight="1" s="136">
      <c r="A83" s="174" t="n"/>
      <c r="B83" s="39" t="n"/>
      <c r="C83" s="26" t="n"/>
      <c r="D83" s="27" t="n"/>
      <c r="E83" s="26" t="n"/>
      <c r="F83" s="26" t="n"/>
      <c r="G83" s="26" t="n"/>
      <c r="H83" s="28" t="n">
        <v>16</v>
      </c>
      <c r="I83" s="35" t="n">
        <v>32</v>
      </c>
      <c r="J83" s="26" t="n"/>
      <c r="K83" s="26" t="n"/>
      <c r="L83" s="26" t="n"/>
      <c r="M83" s="26" t="n"/>
      <c r="N83" s="32" t="n"/>
    </row>
    <row r="84" ht="20.1" customHeight="1" s="136">
      <c r="A84" s="174" t="n"/>
      <c r="B84" s="26" t="n"/>
      <c r="C84" s="26" t="n"/>
      <c r="D84" s="27" t="n"/>
      <c r="E84" s="26" t="n"/>
      <c r="F84" s="26" t="n"/>
      <c r="G84" s="26" t="n"/>
      <c r="H84" s="28">
        <f>E84*F84</f>
        <v/>
      </c>
      <c r="I84" s="35">
        <f>E84*G84</f>
        <v/>
      </c>
      <c r="J84" s="26" t="n"/>
      <c r="K84" s="26" t="n"/>
      <c r="L84" s="26" t="n"/>
      <c r="M84" s="26" t="n"/>
      <c r="N84" s="32" t="n"/>
    </row>
    <row r="85" ht="20.1" customHeight="1" s="136">
      <c r="A85" s="174" t="n"/>
      <c r="B85" s="26" t="n"/>
      <c r="C85" s="26" t="n"/>
      <c r="D85" s="27" t="n"/>
      <c r="E85" s="26" t="n"/>
      <c r="F85" s="26" t="n"/>
      <c r="G85" s="26" t="n"/>
      <c r="H85" s="28">
        <f>E85*F85</f>
        <v/>
      </c>
      <c r="I85" s="35">
        <f>E85*G85</f>
        <v/>
      </c>
      <c r="J85" s="26" t="n"/>
      <c r="K85" s="26" t="n"/>
      <c r="L85" s="26" t="n"/>
      <c r="M85" s="26" t="n"/>
      <c r="N85" s="32" t="n"/>
    </row>
    <row r="86" ht="20.1" customHeight="1" s="136">
      <c r="A86" s="174" t="n"/>
      <c r="B86" s="26" t="n"/>
      <c r="C86" s="26" t="n"/>
      <c r="D86" s="27" t="n"/>
      <c r="E86" s="26" t="n"/>
      <c r="F86" s="26" t="n"/>
      <c r="G86" s="26" t="n"/>
      <c r="H86" s="28">
        <f>E86*F86</f>
        <v/>
      </c>
      <c r="I86" s="35">
        <f>E86*G86</f>
        <v/>
      </c>
      <c r="J86" s="26" t="n"/>
      <c r="K86" s="26" t="n"/>
      <c r="L86" s="26" t="n"/>
      <c r="M86" s="32" t="n"/>
      <c r="N86" s="32" t="n"/>
    </row>
    <row r="87" ht="20.1" customHeight="1" s="136">
      <c r="A87" s="174" t="n"/>
      <c r="B87" s="26" t="n"/>
      <c r="C87" s="26" t="n"/>
      <c r="D87" s="27" t="n"/>
      <c r="E87" s="26" t="n"/>
      <c r="F87" s="26" t="n"/>
      <c r="G87" s="26" t="n"/>
      <c r="H87" s="28">
        <f>E87*F87</f>
        <v/>
      </c>
      <c r="I87" s="35">
        <f>E87*G87</f>
        <v/>
      </c>
      <c r="J87" s="26" t="n"/>
      <c r="K87" s="26" t="n"/>
      <c r="L87" s="26" t="n"/>
      <c r="M87" s="32" t="n"/>
      <c r="N87" s="32" t="n"/>
    </row>
    <row r="88" ht="20.1" customHeight="1" s="136">
      <c r="A88" s="174" t="n"/>
      <c r="B88" s="26" t="n"/>
      <c r="C88" s="26" t="n"/>
      <c r="D88" s="27" t="n"/>
      <c r="E88" s="26" t="n"/>
      <c r="F88" s="26" t="n"/>
      <c r="G88" s="26" t="n"/>
      <c r="H88" s="28">
        <f>E88*F88</f>
        <v/>
      </c>
      <c r="I88" s="35">
        <f>E88*G88</f>
        <v/>
      </c>
      <c r="J88" s="26" t="n"/>
      <c r="K88" s="26" t="n"/>
      <c r="L88" s="26" t="n"/>
      <c r="M88" s="32" t="n"/>
      <c r="N88" s="32" t="n"/>
    </row>
    <row r="89" ht="20.1" customHeight="1" s="136">
      <c r="A89" s="152" t="n"/>
      <c r="B89" s="26" t="n"/>
      <c r="C89" s="26" t="n"/>
      <c r="D89" s="27" t="n"/>
      <c r="E89" s="26" t="n"/>
      <c r="F89" s="26" t="n"/>
      <c r="G89" s="26" t="n"/>
      <c r="H89" s="28">
        <f>E89*F89</f>
        <v/>
      </c>
      <c r="I89" s="35">
        <f>E89*G89</f>
        <v/>
      </c>
      <c r="J89" s="26" t="n"/>
      <c r="K89" s="26" t="n"/>
      <c r="L89" s="26" t="n"/>
      <c r="M89" s="32" t="n"/>
      <c r="N89" s="32" t="n"/>
    </row>
    <row r="90" ht="20.1" customHeight="1" s="136">
      <c r="A90" s="116" t="inlineStr">
        <is>
          <t>化
工</t>
        </is>
      </c>
      <c r="B90" s="26" t="n"/>
      <c r="C90" s="26" t="n"/>
      <c r="D90" s="27" t="n"/>
      <c r="E90" s="26" t="n"/>
      <c r="F90" s="26" t="n"/>
      <c r="G90" s="26" t="n"/>
      <c r="H90" s="28">
        <f>E90*F90</f>
        <v/>
      </c>
      <c r="I90" s="35">
        <f>E90*G90</f>
        <v/>
      </c>
      <c r="J90" s="26" t="n"/>
      <c r="K90" s="26" t="n"/>
      <c r="L90" s="26" t="n"/>
      <c r="M90" s="32" t="n"/>
      <c r="N90" s="32" t="n"/>
    </row>
    <row r="91" ht="20.1" customHeight="1" s="136">
      <c r="A91" s="174" t="n"/>
      <c r="B91" s="26" t="n"/>
      <c r="C91" s="26" t="n"/>
      <c r="D91" s="27" t="n"/>
      <c r="E91" s="26" t="n"/>
      <c r="F91" s="26" t="n"/>
      <c r="G91" s="26" t="n"/>
      <c r="H91" s="28">
        <f>E91*F91</f>
        <v/>
      </c>
      <c r="I91" s="35">
        <f>E91*G91</f>
        <v/>
      </c>
      <c r="J91" s="26" t="n"/>
      <c r="K91" s="26" t="n"/>
      <c r="L91" s="26" t="n"/>
      <c r="M91" s="32" t="n"/>
      <c r="N91" s="32" t="n"/>
    </row>
    <row r="92" ht="20.1" customHeight="1" s="136">
      <c r="A92" s="174" t="n"/>
      <c r="B92" s="26" t="n"/>
      <c r="C92" s="26" t="n"/>
      <c r="D92" s="27" t="n"/>
      <c r="E92" s="176" t="n"/>
      <c r="F92" s="26" t="n"/>
      <c r="G92" s="26" t="n"/>
      <c r="H92" s="28">
        <f>E92*F92</f>
        <v/>
      </c>
      <c r="I92" s="35">
        <f>E92*G92</f>
        <v/>
      </c>
      <c r="J92" s="26" t="n"/>
      <c r="K92" s="26" t="n"/>
      <c r="L92" s="26" t="n"/>
      <c r="M92" s="26" t="n"/>
      <c r="N92" s="32" t="n"/>
    </row>
    <row r="93" ht="20.1" customHeight="1" s="136">
      <c r="A93" s="152" t="n"/>
      <c r="B93" s="26" t="n"/>
      <c r="C93" s="26" t="n"/>
      <c r="D93" s="27" t="n"/>
      <c r="E93" s="26" t="n"/>
      <c r="F93" s="26" t="n"/>
      <c r="G93" s="26" t="n"/>
      <c r="H93" s="28">
        <f>E93*F93</f>
        <v/>
      </c>
      <c r="I93" s="35">
        <f>E93*G93</f>
        <v/>
      </c>
      <c r="J93" s="26" t="n"/>
      <c r="K93" s="26" t="n"/>
      <c r="L93" s="26" t="n"/>
      <c r="M93" s="26" t="n"/>
      <c r="N93" s="32" t="n"/>
    </row>
    <row r="94" ht="20.1" customHeight="1" s="136">
      <c r="A94" s="116" t="inlineStr">
        <is>
          <t>电
池</t>
        </is>
      </c>
      <c r="B94" s="26" t="n"/>
      <c r="C94" s="26" t="n"/>
      <c r="D94" s="27" t="n"/>
      <c r="E94" s="26" t="n"/>
      <c r="F94" s="26" t="n"/>
      <c r="G94" s="26" t="n"/>
      <c r="H94" s="28">
        <f>E94*F94</f>
        <v/>
      </c>
      <c r="I94" s="35">
        <f>E94*G94</f>
        <v/>
      </c>
      <c r="J94" s="26" t="n"/>
      <c r="K94" s="26" t="n"/>
      <c r="L94" s="26" t="n"/>
      <c r="M94" s="32" t="n"/>
      <c r="N94" s="32" t="n"/>
    </row>
    <row r="95" ht="20.1" customHeight="1" s="136">
      <c r="A95" s="174" t="n"/>
      <c r="B95" s="26" t="n"/>
      <c r="C95" s="26" t="n"/>
      <c r="D95" s="29" t="n"/>
      <c r="E95" s="26" t="n"/>
      <c r="F95" s="26" t="n"/>
      <c r="G95" s="26" t="n"/>
      <c r="H95" s="28">
        <f>E95*F95</f>
        <v/>
      </c>
      <c r="I95" s="35">
        <f>E95*G95</f>
        <v/>
      </c>
      <c r="J95" s="26" t="n"/>
      <c r="K95" s="26" t="n"/>
      <c r="L95" s="26" t="n"/>
      <c r="M95" s="32" t="n"/>
      <c r="N95" s="32" t="n"/>
    </row>
    <row r="96" ht="20.1" customHeight="1" s="136">
      <c r="A96" s="152" t="n"/>
      <c r="B96" s="26" t="n"/>
      <c r="C96" s="26" t="n"/>
      <c r="D96" s="27" t="n"/>
      <c r="E96" s="26" t="n"/>
      <c r="F96" s="26" t="n"/>
      <c r="G96" s="26" t="n"/>
      <c r="H96" s="28">
        <f>E96*F96</f>
        <v/>
      </c>
      <c r="I96" s="35">
        <f>E96*G96</f>
        <v/>
      </c>
      <c r="J96" s="26" t="n"/>
      <c r="K96" s="26" t="n"/>
      <c r="L96" s="26" t="n"/>
      <c r="M96" s="32" t="n"/>
      <c r="N96" s="32" t="n"/>
    </row>
    <row r="97" ht="20.1" customHeight="1" s="136">
      <c r="A97" s="112" t="inlineStr">
        <is>
          <t>矿</t>
        </is>
      </c>
      <c r="B97" s="26" t="n"/>
      <c r="C97" s="26" t="n"/>
      <c r="D97" s="27" t="n"/>
      <c r="E97" s="26" t="n"/>
      <c r="F97" s="26" t="n"/>
      <c r="G97" s="26" t="n"/>
      <c r="H97" s="28">
        <f>E97*F97</f>
        <v/>
      </c>
      <c r="I97" s="35">
        <f>E97*G97</f>
        <v/>
      </c>
      <c r="J97" s="26" t="n"/>
      <c r="K97" s="26" t="n"/>
      <c r="L97" s="26" t="n"/>
      <c r="M97" s="32" t="n"/>
      <c r="N97" s="32" t="n"/>
    </row>
    <row r="98" ht="20.1" customHeight="1" s="136">
      <c r="A98" s="174" t="n"/>
      <c r="B98" s="26" t="n"/>
      <c r="C98" s="26" t="n"/>
      <c r="D98" s="27" t="n"/>
      <c r="E98" s="26" t="n"/>
      <c r="F98" s="26" t="n"/>
      <c r="G98" s="26" t="n"/>
      <c r="H98" s="28">
        <f>E98*F98</f>
        <v/>
      </c>
      <c r="I98" s="35">
        <f>E98*G98</f>
        <v/>
      </c>
      <c r="J98" s="26" t="n"/>
      <c r="K98" s="26" t="n"/>
      <c r="L98" s="26" t="n"/>
      <c r="M98" s="32" t="n"/>
      <c r="N98" s="32" t="n"/>
    </row>
    <row r="99" ht="20.1" customHeight="1" s="136">
      <c r="A99" s="174" t="n"/>
      <c r="B99" s="26" t="n"/>
      <c r="C99" s="26" t="n"/>
      <c r="D99" s="27" t="n"/>
      <c r="E99" s="26" t="n"/>
      <c r="F99" s="26" t="n"/>
      <c r="G99" s="26" t="n"/>
      <c r="H99" s="28">
        <f>E99*F99</f>
        <v/>
      </c>
      <c r="I99" s="35">
        <f>E99*G99</f>
        <v/>
      </c>
      <c r="J99" s="26" t="n"/>
      <c r="K99" s="26" t="n"/>
      <c r="L99" s="26" t="n"/>
      <c r="M99" s="32" t="n"/>
      <c r="N99" s="32" t="n"/>
    </row>
    <row r="100" ht="20.1" customHeight="1" s="136">
      <c r="A100" s="174" t="n"/>
      <c r="B100" s="26" t="n"/>
      <c r="C100" s="26" t="n"/>
      <c r="D100" s="27" t="n"/>
      <c r="E100" s="26" t="n"/>
      <c r="F100" s="26" t="n"/>
      <c r="G100" s="26" t="n"/>
      <c r="H100" s="28">
        <f>E100*F100</f>
        <v/>
      </c>
      <c r="I100" s="35">
        <f>E100*G100</f>
        <v/>
      </c>
      <c r="J100" s="26" t="n"/>
      <c r="K100" s="26" t="n"/>
      <c r="L100" s="26" t="n"/>
      <c r="M100" s="32" t="n"/>
      <c r="N100" s="32" t="n"/>
    </row>
    <row r="101" ht="20.1" customHeight="1" s="136">
      <c r="A101" s="174" t="n"/>
      <c r="B101" s="26" t="n"/>
      <c r="C101" s="26" t="n"/>
      <c r="D101" s="27" t="n"/>
      <c r="E101" s="26" t="n"/>
      <c r="F101" s="26" t="n"/>
      <c r="G101" s="26" t="n"/>
      <c r="H101" s="28">
        <f>E101*F101</f>
        <v/>
      </c>
      <c r="I101" s="35">
        <f>E101*G101</f>
        <v/>
      </c>
      <c r="J101" s="26" t="n"/>
      <c r="K101" s="26" t="n"/>
      <c r="L101" s="26" t="n"/>
      <c r="M101" s="26" t="n"/>
      <c r="N101" s="32" t="n"/>
    </row>
    <row r="102" ht="20.1" customHeight="1" s="136">
      <c r="A102" s="174" t="n"/>
      <c r="B102" s="26" t="n"/>
      <c r="C102" s="26" t="n"/>
      <c r="D102" s="27" t="n"/>
      <c r="E102" s="26" t="n"/>
      <c r="F102" s="26" t="n"/>
      <c r="G102" s="26" t="n"/>
      <c r="H102" s="28">
        <f>E102*F102</f>
        <v/>
      </c>
      <c r="I102" s="35">
        <f>E102*G102</f>
        <v/>
      </c>
      <c r="J102" s="26" t="n"/>
      <c r="K102" s="26" t="n"/>
      <c r="L102" s="26" t="n"/>
      <c r="M102" s="26" t="n"/>
      <c r="N102" s="32" t="n"/>
    </row>
    <row r="103" ht="20.1" customHeight="1" s="136">
      <c r="A103" s="152" t="n"/>
      <c r="B103" s="40" t="n"/>
      <c r="C103" s="32" t="n"/>
      <c r="D103" s="29" t="n"/>
      <c r="E103" s="32" t="n"/>
      <c r="F103" s="26" t="n"/>
      <c r="G103" s="26" t="n"/>
      <c r="H103" s="28">
        <f>E103*F103</f>
        <v/>
      </c>
      <c r="I103" s="35">
        <f>E103*G103</f>
        <v/>
      </c>
      <c r="J103" s="26" t="n"/>
      <c r="K103" s="26" t="n"/>
      <c r="L103" s="26" t="n"/>
      <c r="M103" s="26" t="n"/>
      <c r="N103" s="32" t="n"/>
    </row>
    <row r="104" ht="20.1" customHeight="1" s="136">
      <c r="A104" s="116" t="inlineStr">
        <is>
          <t>光
伏</t>
        </is>
      </c>
      <c r="B104" s="26" t="n"/>
      <c r="C104" s="26" t="n"/>
      <c r="D104" s="27" t="n"/>
      <c r="E104" s="26" t="n"/>
      <c r="F104" s="26" t="n"/>
      <c r="G104" s="26" t="n"/>
      <c r="H104" s="28">
        <f>E104*F104</f>
        <v/>
      </c>
      <c r="I104" s="35">
        <f>E104*G104</f>
        <v/>
      </c>
      <c r="J104" s="26" t="n"/>
      <c r="K104" s="26" t="n"/>
      <c r="L104" s="26" t="n"/>
      <c r="M104" s="32" t="n"/>
      <c r="N104" s="32" t="n"/>
    </row>
    <row r="105" ht="20.1" customHeight="1" s="136">
      <c r="A105" s="174" t="n"/>
      <c r="B105" s="39" t="n"/>
      <c r="C105" s="26" t="n"/>
      <c r="D105" s="27" t="n"/>
      <c r="E105" s="26" t="n"/>
      <c r="F105" s="26" t="n"/>
      <c r="G105" s="26" t="n"/>
      <c r="H105" s="28" t="n">
        <v>15</v>
      </c>
      <c r="I105" s="35" t="n">
        <v>30</v>
      </c>
      <c r="J105" s="26" t="n"/>
      <c r="K105" s="26" t="n"/>
      <c r="L105" s="26" t="n"/>
      <c r="M105" s="32" t="n"/>
      <c r="N105" s="32" t="n"/>
    </row>
    <row r="106" ht="20.1" customHeight="1" s="136">
      <c r="A106" s="174" t="n"/>
      <c r="B106" s="26" t="n"/>
      <c r="C106" s="32" t="n"/>
      <c r="D106" s="27" t="n"/>
      <c r="E106" s="26" t="n"/>
      <c r="F106" s="26" t="n"/>
      <c r="G106" s="26" t="n"/>
      <c r="H106" s="28">
        <f>E106*F106</f>
        <v/>
      </c>
      <c r="I106" s="35">
        <f>E106*G106</f>
        <v/>
      </c>
      <c r="J106" s="26" t="n"/>
      <c r="K106" s="26" t="n"/>
      <c r="L106" s="26" t="n"/>
      <c r="M106" s="32" t="n"/>
      <c r="N106" s="32" t="n"/>
    </row>
    <row r="107" ht="20.1" customHeight="1" s="136">
      <c r="A107" s="174" t="n"/>
      <c r="B107" s="26" t="n"/>
      <c r="C107" s="26" t="n"/>
      <c r="D107" s="27" t="n"/>
      <c r="E107" s="26" t="n"/>
      <c r="F107" s="26" t="n"/>
      <c r="G107" s="26" t="n"/>
      <c r="H107" s="28">
        <f>E107*F107</f>
        <v/>
      </c>
      <c r="I107" s="35">
        <f>E107*G107</f>
        <v/>
      </c>
      <c r="J107" s="26" t="n"/>
      <c r="K107" s="26" t="n"/>
      <c r="L107" s="26" t="n"/>
      <c r="M107" s="32" t="n"/>
      <c r="N107" s="32" t="n"/>
    </row>
    <row r="108" ht="20.1" customHeight="1" s="136">
      <c r="A108" s="174" t="n"/>
      <c r="B108" s="26" t="n"/>
      <c r="C108" s="26" t="n"/>
      <c r="D108" s="27" t="n"/>
      <c r="E108" s="26" t="n"/>
      <c r="F108" s="26" t="n"/>
      <c r="G108" s="26" t="n"/>
      <c r="H108" s="28">
        <f>E108*F108</f>
        <v/>
      </c>
      <c r="I108" s="35">
        <f>E108*G108</f>
        <v/>
      </c>
      <c r="J108" s="26" t="n"/>
      <c r="K108" s="26" t="n"/>
      <c r="L108" s="26" t="n"/>
      <c r="M108" s="32" t="n"/>
      <c r="N108" s="32" t="n"/>
    </row>
    <row r="109" ht="20.1" customHeight="1" s="136">
      <c r="A109" s="174" t="n"/>
      <c r="B109" s="26" t="n"/>
      <c r="C109" s="32" t="n"/>
      <c r="D109" s="27" t="n"/>
      <c r="E109" s="26" t="n"/>
      <c r="F109" s="26" t="n"/>
      <c r="G109" s="26" t="n"/>
      <c r="H109" s="28" t="n"/>
      <c r="I109" s="35" t="n"/>
      <c r="J109" s="26" t="n"/>
      <c r="K109" s="26" t="n"/>
      <c r="L109" s="26" t="n"/>
      <c r="M109" s="32" t="n"/>
      <c r="N109" s="32" t="n"/>
    </row>
    <row r="110" ht="20.1" customHeight="1" s="136">
      <c r="A110" s="152" t="n"/>
      <c r="B110" s="26" t="n"/>
      <c r="C110" s="26" t="n"/>
      <c r="D110" s="27" t="n"/>
      <c r="E110" s="26" t="n"/>
      <c r="F110" s="26" t="n"/>
      <c r="G110" s="26" t="n"/>
      <c r="H110" s="28">
        <f>E110*F110</f>
        <v/>
      </c>
      <c r="I110" s="35">
        <f>E110*G110</f>
        <v/>
      </c>
      <c r="J110" s="26" t="n"/>
      <c r="K110" s="26" t="n"/>
      <c r="L110" s="26" t="n"/>
      <c r="M110" s="32" t="n"/>
      <c r="N110" s="32" t="n"/>
    </row>
    <row r="111" ht="20.1" customHeight="1" s="136">
      <c r="A111" s="115" t="inlineStr">
        <is>
          <t>半    导                 体</t>
        </is>
      </c>
      <c r="B111" s="26" t="n"/>
      <c r="C111" s="26" t="n"/>
      <c r="D111" s="27" t="n"/>
      <c r="E111" s="26" t="n"/>
      <c r="F111" s="26" t="n"/>
      <c r="G111" s="26" t="n"/>
      <c r="H111" s="28">
        <f>E111*F111</f>
        <v/>
      </c>
      <c r="I111" s="35">
        <f>E111*G111</f>
        <v/>
      </c>
      <c r="J111" s="26" t="n"/>
      <c r="K111" s="26" t="n"/>
      <c r="L111" s="26" t="n"/>
      <c r="M111" s="32" t="n"/>
      <c r="N111" s="32" t="n"/>
    </row>
    <row r="112" ht="20.1" customHeight="1" s="136">
      <c r="A112" s="174" t="n"/>
      <c r="B112" s="26" t="n"/>
      <c r="C112" s="26" t="n"/>
      <c r="D112" s="27" t="n"/>
      <c r="E112" s="26" t="n"/>
      <c r="F112" s="26" t="n"/>
      <c r="G112" s="26" t="n"/>
      <c r="H112" s="28">
        <f>E112*F112</f>
        <v/>
      </c>
      <c r="I112" s="35">
        <f>E112*G112</f>
        <v/>
      </c>
      <c r="J112" s="26" t="n"/>
      <c r="K112" s="26" t="n"/>
      <c r="L112" s="26" t="n"/>
      <c r="M112" s="26" t="n"/>
      <c r="N112" s="32" t="n"/>
    </row>
    <row r="113" ht="20.1" customHeight="1" s="136">
      <c r="A113" s="174" t="n"/>
      <c r="B113" s="26" t="n"/>
      <c r="C113" s="26" t="n"/>
      <c r="D113" s="27" t="n"/>
      <c r="E113" s="26" t="n"/>
      <c r="F113" s="26" t="n"/>
      <c r="G113" s="26" t="n"/>
      <c r="H113" s="28">
        <f>E113*F113</f>
        <v/>
      </c>
      <c r="I113" s="35">
        <f>E113*G113</f>
        <v/>
      </c>
      <c r="J113" s="26" t="n"/>
      <c r="K113" s="26" t="n"/>
      <c r="L113" s="26" t="n"/>
      <c r="M113" s="32" t="n"/>
      <c r="N113" s="32" t="n"/>
    </row>
    <row r="114" ht="20.1" customHeight="1" s="136">
      <c r="A114" s="174" t="n"/>
      <c r="B114" s="26" t="n"/>
      <c r="C114" s="26" t="n"/>
      <c r="D114" s="27" t="n"/>
      <c r="E114" s="26" t="n"/>
      <c r="F114" s="26" t="n"/>
      <c r="G114" s="26" t="n"/>
      <c r="H114" s="28">
        <f>E114*F114</f>
        <v/>
      </c>
      <c r="I114" s="35">
        <f>E114*G114</f>
        <v/>
      </c>
      <c r="J114" s="26" t="n"/>
      <c r="K114" s="26" t="n"/>
      <c r="L114" s="26" t="n"/>
      <c r="M114" s="26" t="n"/>
      <c r="N114" s="32" t="n"/>
    </row>
    <row r="115" ht="20.1" customHeight="1" s="136">
      <c r="A115" s="174" t="n"/>
      <c r="B115" s="26" t="n"/>
      <c r="C115" s="26" t="n"/>
      <c r="D115" s="27" t="n"/>
      <c r="E115" s="26" t="n"/>
      <c r="F115" s="26" t="n"/>
      <c r="G115" s="26" t="n"/>
      <c r="H115" s="28">
        <f>E115*F115</f>
        <v/>
      </c>
      <c r="I115" s="35">
        <f>E115*G115</f>
        <v/>
      </c>
      <c r="J115" s="26" t="n"/>
      <c r="K115" s="26" t="n"/>
      <c r="L115" s="26" t="n"/>
      <c r="M115" s="26" t="n"/>
      <c r="N115" s="32" t="n"/>
    </row>
    <row r="116" ht="20.1" customHeight="1" s="136">
      <c r="A116" s="174" t="n"/>
      <c r="B116" s="26" t="n"/>
      <c r="C116" s="26" t="n"/>
      <c r="D116" s="27" t="n"/>
      <c r="E116" s="26" t="n"/>
      <c r="F116" s="26" t="n"/>
      <c r="G116" s="26" t="n"/>
      <c r="H116" s="28">
        <f>E116*F116</f>
        <v/>
      </c>
      <c r="I116" s="35">
        <f>E116*G116</f>
        <v/>
      </c>
      <c r="J116" s="26" t="n"/>
      <c r="K116" s="26" t="n"/>
      <c r="L116" s="26" t="n"/>
      <c r="M116" s="32" t="n"/>
      <c r="N116" s="32" t="n"/>
    </row>
    <row r="117" ht="20.1" customHeight="1" s="136">
      <c r="A117" s="174" t="n"/>
      <c r="B117" s="26" t="n"/>
      <c r="C117" s="26" t="n"/>
      <c r="D117" s="27" t="n"/>
      <c r="E117" s="26" t="n"/>
      <c r="F117" s="26" t="n"/>
      <c r="G117" s="26" t="n"/>
      <c r="H117" s="28">
        <f>E117*F117</f>
        <v/>
      </c>
      <c r="I117" s="35">
        <f>E117*G117</f>
        <v/>
      </c>
      <c r="J117" s="26" t="n"/>
      <c r="K117" s="26" t="n"/>
      <c r="L117" s="26" t="n"/>
      <c r="M117" s="32" t="n"/>
      <c r="N117" s="32" t="n"/>
    </row>
    <row r="118" ht="20.1" customHeight="1" s="136">
      <c r="A118" s="174" t="n"/>
      <c r="B118" s="26" t="n"/>
      <c r="C118" s="26" t="n"/>
      <c r="D118" s="27" t="n"/>
      <c r="E118" s="26" t="n"/>
      <c r="F118" s="26" t="n"/>
      <c r="G118" s="26" t="n"/>
      <c r="H118" s="28">
        <f>E118*F118</f>
        <v/>
      </c>
      <c r="I118" s="35">
        <f>E118*G118</f>
        <v/>
      </c>
      <c r="J118" s="26" t="n"/>
      <c r="K118" s="26" t="n"/>
      <c r="L118" s="26" t="n"/>
      <c r="M118" s="32" t="n"/>
      <c r="N118" s="32" t="n"/>
    </row>
    <row r="119" ht="20.1" customHeight="1" s="136">
      <c r="A119" s="152" t="n"/>
      <c r="B119" s="26" t="n"/>
      <c r="C119" s="26" t="n"/>
      <c r="D119" s="27" t="n"/>
      <c r="E119" s="26" t="n"/>
      <c r="F119" s="26" t="n"/>
      <c r="G119" s="26" t="n"/>
      <c r="H119" s="28">
        <f>E119*F119</f>
        <v/>
      </c>
      <c r="I119" s="35">
        <f>E119*G119</f>
        <v/>
      </c>
      <c r="J119" s="26" t="n"/>
      <c r="K119" s="26" t="n"/>
      <c r="L119" s="26" t="n"/>
      <c r="M119" s="26" t="n"/>
      <c r="N119" s="32" t="n"/>
    </row>
    <row r="120" ht="20.1" customHeight="1" s="136">
      <c r="A120" s="116" t="inlineStr">
        <is>
          <t>设
备</t>
        </is>
      </c>
      <c r="B120" s="26" t="n"/>
      <c r="C120" s="26" t="n"/>
      <c r="D120" s="27" t="n"/>
      <c r="E120" s="26" t="n"/>
      <c r="F120" s="26" t="n"/>
      <c r="G120" s="26" t="n"/>
      <c r="H120" s="28">
        <f>E120*F120</f>
        <v/>
      </c>
      <c r="I120" s="35">
        <f>E120*G120</f>
        <v/>
      </c>
      <c r="J120" s="26" t="n"/>
      <c r="K120" s="26" t="n"/>
      <c r="L120" s="26" t="n"/>
      <c r="M120" s="32" t="n"/>
      <c r="N120" s="32" t="n"/>
    </row>
    <row r="121" ht="20.1" customHeight="1" s="136">
      <c r="A121" s="174" t="n"/>
      <c r="B121" s="26" t="n"/>
      <c r="C121" s="26" t="n"/>
      <c r="D121" s="27" t="n"/>
      <c r="E121" s="26" t="n"/>
      <c r="F121" s="26" t="n"/>
      <c r="G121" s="26" t="n"/>
      <c r="H121" s="28">
        <f>E121*F121</f>
        <v/>
      </c>
      <c r="I121" s="35">
        <f>E121*G121</f>
        <v/>
      </c>
      <c r="J121" s="26" t="n"/>
      <c r="K121" s="26" t="n"/>
      <c r="L121" s="26" t="n"/>
      <c r="M121" s="26" t="n"/>
      <c r="N121" s="32" t="n"/>
    </row>
    <row r="122" ht="20.1" customHeight="1" s="136">
      <c r="A122" s="174" t="n"/>
      <c r="B122" s="26" t="n"/>
      <c r="C122" s="26" t="n"/>
      <c r="D122" s="27" t="n"/>
      <c r="E122" s="26" t="n"/>
      <c r="F122" s="26" t="n"/>
      <c r="G122" s="26" t="n"/>
      <c r="H122" s="28">
        <f>E122*F122</f>
        <v/>
      </c>
      <c r="I122" s="35">
        <f>E122*G122</f>
        <v/>
      </c>
      <c r="J122" s="26" t="n"/>
      <c r="K122" s="26" t="n"/>
      <c r="L122" s="26" t="n"/>
      <c r="M122" s="26" t="n"/>
      <c r="N122" s="32" t="n"/>
    </row>
    <row r="123" ht="20.1" customHeight="1" s="136">
      <c r="A123" s="174" t="n"/>
      <c r="B123" s="26" t="n"/>
      <c r="C123" s="26" t="n"/>
      <c r="D123" s="27" t="n"/>
      <c r="E123" s="26" t="n"/>
      <c r="F123" s="26" t="n"/>
      <c r="G123" s="26" t="n"/>
      <c r="H123" s="28">
        <f>E123*F123</f>
        <v/>
      </c>
      <c r="I123" s="35">
        <f>E123*G123</f>
        <v/>
      </c>
      <c r="J123" s="26" t="n"/>
      <c r="K123" s="26" t="n"/>
      <c r="L123" s="26" t="n"/>
      <c r="M123" s="26" t="n"/>
      <c r="N123" s="32" t="n"/>
    </row>
    <row r="124" ht="20.1" customHeight="1" s="136">
      <c r="A124" s="174" t="n"/>
      <c r="B124" s="26" t="n"/>
      <c r="C124" s="26" t="n"/>
      <c r="D124" s="27" t="n"/>
      <c r="E124" s="26" t="n"/>
      <c r="F124" s="26" t="n"/>
      <c r="G124" s="26" t="n"/>
      <c r="H124" s="28">
        <f>E124*F124</f>
        <v/>
      </c>
      <c r="I124" s="35">
        <f>E124*G124</f>
        <v/>
      </c>
      <c r="J124" s="26" t="n"/>
      <c r="K124" s="26" t="n"/>
      <c r="L124" s="175" t="n"/>
      <c r="M124" s="32" t="n"/>
      <c r="N124" s="32" t="n"/>
    </row>
    <row r="125" ht="20.1" customHeight="1" s="136">
      <c r="A125" s="174" t="n"/>
      <c r="B125" s="26" t="n"/>
      <c r="C125" s="26" t="n"/>
      <c r="D125" s="27" t="n"/>
      <c r="E125" s="26" t="n"/>
      <c r="F125" s="26" t="n"/>
      <c r="G125" s="26" t="n"/>
      <c r="H125" s="28">
        <f>E125*F125</f>
        <v/>
      </c>
      <c r="I125" s="35">
        <f>E125*G125</f>
        <v/>
      </c>
      <c r="J125" s="26" t="n"/>
      <c r="K125" s="26" t="n"/>
      <c r="L125" s="26" t="n"/>
      <c r="M125" s="32" t="n"/>
      <c r="N125" s="32" t="n"/>
    </row>
    <row r="126" ht="20.1" customHeight="1" s="136">
      <c r="A126" s="174" t="n"/>
      <c r="B126" s="26" t="n"/>
      <c r="C126" s="26" t="n"/>
      <c r="D126" s="27" t="n"/>
      <c r="E126" s="26" t="n"/>
      <c r="F126" s="26" t="n"/>
      <c r="G126" s="26" t="n"/>
      <c r="H126" s="28">
        <f>E126*F126</f>
        <v/>
      </c>
      <c r="I126" s="35">
        <f>E126*G126</f>
        <v/>
      </c>
      <c r="J126" s="26" t="n"/>
      <c r="K126" s="26" t="n"/>
      <c r="L126" s="26" t="n"/>
      <c r="M126" s="26" t="n"/>
      <c r="N126" s="32" t="n"/>
    </row>
    <row r="127" ht="20.1" customHeight="1" s="136">
      <c r="A127" s="174" t="n"/>
      <c r="B127" s="26" t="n"/>
      <c r="C127" s="26" t="n"/>
      <c r="D127" s="27" t="n"/>
      <c r="E127" s="26" t="n"/>
      <c r="F127" s="26" t="n"/>
      <c r="G127" s="26" t="n"/>
      <c r="H127" s="28">
        <f>E127*F127</f>
        <v/>
      </c>
      <c r="I127" s="35">
        <f>E127*G127</f>
        <v/>
      </c>
      <c r="J127" s="26" t="n"/>
      <c r="K127" s="26" t="n"/>
      <c r="L127" s="26" t="n"/>
      <c r="M127" s="26" t="n"/>
      <c r="N127" s="32" t="n"/>
    </row>
    <row r="128" ht="20.1" customHeight="1" s="136">
      <c r="A128" s="174" t="n"/>
      <c r="B128" s="26" t="n"/>
      <c r="C128" s="26" t="n"/>
      <c r="D128" s="27" t="n"/>
      <c r="E128" s="26" t="n"/>
      <c r="F128" s="26" t="n"/>
      <c r="G128" s="26" t="n"/>
      <c r="H128" s="28">
        <f>E128*F128</f>
        <v/>
      </c>
      <c r="I128" s="35">
        <f>E128*G128</f>
        <v/>
      </c>
      <c r="J128" s="26" t="n"/>
      <c r="K128" s="26" t="n"/>
      <c r="L128" s="26" t="n"/>
      <c r="M128" s="32" t="n"/>
      <c r="N128" s="32" t="n"/>
    </row>
    <row r="129" ht="20.1" customHeight="1" s="136">
      <c r="A129" s="174" t="n"/>
      <c r="B129" s="26" t="n"/>
      <c r="C129" s="26" t="n"/>
      <c r="D129" s="27" t="n"/>
      <c r="E129" s="26" t="n"/>
      <c r="F129" s="26" t="n"/>
      <c r="G129" s="26" t="n"/>
      <c r="H129" s="28">
        <f>E129*F129</f>
        <v/>
      </c>
      <c r="I129" s="35">
        <f>E129*G129</f>
        <v/>
      </c>
      <c r="J129" s="26" t="n"/>
      <c r="K129" s="26" t="n"/>
      <c r="L129" s="26" t="n"/>
      <c r="M129" s="32" t="n"/>
      <c r="N129" s="32" t="n"/>
    </row>
    <row r="130" ht="20.1" customHeight="1" s="136">
      <c r="A130" s="152" t="n"/>
      <c r="B130" s="26" t="n"/>
      <c r="C130" s="26" t="n"/>
      <c r="D130" s="27" t="n"/>
      <c r="E130" s="26" t="n"/>
      <c r="F130" s="26" t="n"/>
      <c r="G130" s="26" t="n"/>
      <c r="H130" s="28">
        <f>E130*F130</f>
        <v/>
      </c>
      <c r="I130" s="35">
        <f>E130*G130</f>
        <v/>
      </c>
      <c r="J130" s="26" t="n"/>
      <c r="K130" s="26" t="n"/>
      <c r="L130" s="26" t="n"/>
      <c r="M130" s="32" t="n"/>
      <c r="N130" s="32" t="n"/>
    </row>
    <row r="131" ht="20.1" customHeight="1" s="136">
      <c r="A131" s="115" t="inlineStr">
        <is>
          <t>AI</t>
        </is>
      </c>
      <c r="B131" s="26" t="n"/>
      <c r="C131" s="26" t="n"/>
      <c r="D131" s="27" t="n"/>
      <c r="E131" s="26" t="n"/>
      <c r="F131" s="26" t="n"/>
      <c r="G131" s="26" t="n"/>
      <c r="H131" s="28">
        <f>E131*F131</f>
        <v/>
      </c>
      <c r="I131" s="35">
        <f>E131*G131</f>
        <v/>
      </c>
      <c r="J131" s="26" t="n"/>
      <c r="K131" s="26" t="n"/>
      <c r="L131" s="26" t="n"/>
      <c r="M131" s="26" t="n"/>
      <c r="N131" s="32" t="n"/>
    </row>
    <row r="132" ht="20.1" customHeight="1" s="136">
      <c r="A132" s="117" t="inlineStr">
        <is>
          <t>电
子</t>
        </is>
      </c>
      <c r="B132" s="26" t="n"/>
      <c r="C132" s="26" t="n"/>
      <c r="D132" s="27" t="n"/>
      <c r="E132" s="26" t="n"/>
      <c r="F132" s="26" t="n"/>
      <c r="G132" s="26" t="n"/>
      <c r="H132" s="28">
        <f>E132*F132</f>
        <v/>
      </c>
      <c r="I132" s="35">
        <f>E132*G132</f>
        <v/>
      </c>
      <c r="J132" s="26" t="n"/>
      <c r="K132" s="26" t="n"/>
      <c r="L132" s="26" t="n"/>
      <c r="M132" s="32" t="n"/>
      <c r="N132" s="32" t="n"/>
    </row>
    <row r="133" ht="20.1" customHeight="1" s="136">
      <c r="A133" s="174" t="n"/>
      <c r="B133" s="26" t="n"/>
      <c r="C133" s="32" t="n"/>
      <c r="D133" s="29" t="n"/>
      <c r="E133" s="26" t="n"/>
      <c r="F133" s="26" t="n"/>
      <c r="G133" s="26" t="n"/>
      <c r="H133" s="28">
        <f>E133*F133</f>
        <v/>
      </c>
      <c r="I133" s="35">
        <f>E133*G133</f>
        <v/>
      </c>
      <c r="J133" s="26" t="n"/>
      <c r="K133" s="26" t="n"/>
      <c r="L133" s="26" t="n"/>
      <c r="M133" s="26" t="n"/>
      <c r="N133" s="32" t="n"/>
    </row>
    <row r="134" ht="20.1" customHeight="1" s="136">
      <c r="A134" s="174" t="n"/>
      <c r="B134" s="26" t="n"/>
      <c r="C134" s="32" t="n"/>
      <c r="D134" s="29" t="n"/>
      <c r="E134" s="26" t="n"/>
      <c r="F134" s="26" t="n"/>
      <c r="G134" s="26" t="n"/>
      <c r="H134" s="28">
        <f>E134*F134</f>
        <v/>
      </c>
      <c r="I134" s="35">
        <f>E134*G134</f>
        <v/>
      </c>
      <c r="J134" s="26" t="n"/>
      <c r="K134" s="26" t="n"/>
      <c r="L134" s="26" t="n"/>
      <c r="M134" s="26" t="n"/>
      <c r="N134" s="32" t="n"/>
    </row>
    <row r="135" ht="20.1" customHeight="1" s="136">
      <c r="A135" s="174" t="n"/>
      <c r="B135" s="26" t="n"/>
      <c r="C135" s="26" t="n"/>
      <c r="D135" s="27" t="n"/>
      <c r="E135" s="26" t="n"/>
      <c r="F135" s="26" t="n"/>
      <c r="G135" s="26" t="n"/>
      <c r="H135" s="28">
        <f>E135*F135</f>
        <v/>
      </c>
      <c r="I135" s="35">
        <f>E135*G135</f>
        <v/>
      </c>
      <c r="J135" s="26" t="n"/>
      <c r="K135" s="26" t="n"/>
      <c r="L135" s="26" t="n"/>
      <c r="M135" s="26" t="n"/>
      <c r="N135" s="32" t="n"/>
    </row>
    <row r="136" ht="20.1" customHeight="1" s="136">
      <c r="A136" s="174" t="n"/>
      <c r="B136" s="26" t="n"/>
      <c r="C136" s="26" t="n"/>
      <c r="D136" s="27" t="n"/>
      <c r="E136" s="26" t="n"/>
      <c r="F136" s="26" t="n"/>
      <c r="G136" s="26" t="n"/>
      <c r="H136" s="28">
        <f>E136*F136</f>
        <v/>
      </c>
      <c r="I136" s="35">
        <f>E136*G136</f>
        <v/>
      </c>
      <c r="J136" s="26" t="n"/>
      <c r="K136" s="26" t="n"/>
      <c r="L136" s="26" t="n"/>
      <c r="M136" s="26" t="n"/>
      <c r="N136" s="32" t="n"/>
    </row>
    <row r="137" ht="20.1" customHeight="1" s="136">
      <c r="A137" s="174" t="n"/>
      <c r="B137" s="26" t="n"/>
      <c r="C137" s="26" t="n"/>
      <c r="D137" s="27" t="n"/>
      <c r="E137" s="26" t="n"/>
      <c r="F137" s="26" t="n"/>
      <c r="G137" s="26" t="n"/>
      <c r="H137" s="28">
        <f>E137*F137</f>
        <v/>
      </c>
      <c r="I137" s="35">
        <f>E137*G137</f>
        <v/>
      </c>
      <c r="J137" s="26" t="n"/>
      <c r="K137" s="26" t="n"/>
      <c r="L137" s="26" t="n"/>
      <c r="M137" s="32" t="n"/>
      <c r="N137" s="32" t="n"/>
    </row>
    <row r="138" ht="20.1" customHeight="1" s="136">
      <c r="A138" s="174" t="n"/>
      <c r="B138" s="26" t="n"/>
      <c r="C138" s="26" t="n"/>
      <c r="D138" s="27" t="n"/>
      <c r="E138" s="26" t="n"/>
      <c r="F138" s="26" t="n"/>
      <c r="G138" s="26" t="n"/>
      <c r="H138" s="28">
        <f>E138*F138</f>
        <v/>
      </c>
      <c r="I138" s="35">
        <f>E138*G138</f>
        <v/>
      </c>
      <c r="J138" s="26" t="n"/>
      <c r="K138" s="26" t="n"/>
      <c r="L138" s="26" t="n"/>
      <c r="M138" s="32" t="n"/>
      <c r="N138" s="32" t="n"/>
    </row>
    <row r="139" ht="20.1" customHeight="1" s="136">
      <c r="A139" s="116" t="inlineStr">
        <is>
          <t>制
造</t>
        </is>
      </c>
      <c r="B139" s="26" t="n"/>
      <c r="C139" s="26" t="n"/>
      <c r="D139" s="27" t="n"/>
      <c r="E139" s="26" t="n"/>
      <c r="F139" s="26" t="n"/>
      <c r="G139" s="26" t="n"/>
      <c r="H139" s="28">
        <f>E139*F139</f>
        <v/>
      </c>
      <c r="I139" s="35">
        <f>E139*G139</f>
        <v/>
      </c>
      <c r="J139" s="26" t="n"/>
      <c r="K139" s="26" t="n"/>
      <c r="L139" s="26" t="n"/>
      <c r="M139" s="26" t="n"/>
      <c r="N139" s="32" t="n"/>
    </row>
    <row r="140" ht="20.1" customHeight="1" s="136">
      <c r="A140" s="174" t="n"/>
      <c r="B140" s="26" t="n"/>
      <c r="C140" s="26" t="n"/>
      <c r="D140" s="27" t="n"/>
      <c r="E140" s="26" t="n"/>
      <c r="F140" s="26" t="n"/>
      <c r="G140" s="26" t="n"/>
      <c r="H140" s="28">
        <f>E140*F140</f>
        <v/>
      </c>
      <c r="I140" s="35">
        <f>E140*G140</f>
        <v/>
      </c>
      <c r="J140" s="26" t="n"/>
      <c r="K140" s="26" t="n"/>
      <c r="L140" s="26" t="n"/>
      <c r="M140" s="32" t="n"/>
      <c r="N140" s="32" t="n"/>
    </row>
    <row r="141" ht="20.1" customHeight="1" s="136">
      <c r="A141" s="174" t="n"/>
      <c r="B141" s="26" t="n"/>
      <c r="C141" s="26" t="n"/>
      <c r="D141" s="27" t="n"/>
      <c r="E141" s="26" t="n"/>
      <c r="F141" s="26" t="n"/>
      <c r="G141" s="26" t="n"/>
      <c r="H141" s="28">
        <f>E141*F141</f>
        <v/>
      </c>
      <c r="I141" s="35">
        <f>E141*G141</f>
        <v/>
      </c>
      <c r="J141" s="26" t="n"/>
      <c r="K141" s="26" t="n"/>
      <c r="L141" s="26" t="n"/>
      <c r="M141" s="32" t="n"/>
      <c r="N141" s="32" t="n"/>
    </row>
    <row r="142" ht="20.1" customHeight="1" s="136">
      <c r="A142" s="174" t="n"/>
      <c r="B142" s="26" t="n"/>
      <c r="C142" s="26" t="n"/>
      <c r="D142" s="27" t="n"/>
      <c r="E142" s="26" t="n"/>
      <c r="F142" s="26" t="n"/>
      <c r="G142" s="26" t="n"/>
      <c r="H142" s="28">
        <f>E142*F142</f>
        <v/>
      </c>
      <c r="I142" s="35">
        <f>E142*G142</f>
        <v/>
      </c>
      <c r="J142" s="26" t="n"/>
      <c r="K142" s="175" t="n"/>
      <c r="L142" s="26" t="n"/>
      <c r="M142" s="26" t="n"/>
      <c r="N142" s="32" t="n"/>
    </row>
    <row r="143" ht="20.1" customHeight="1" s="136">
      <c r="A143" s="174" t="n"/>
      <c r="B143" s="26" t="n"/>
      <c r="C143" s="26" t="n"/>
      <c r="D143" s="27" t="n"/>
      <c r="E143" s="26" t="n"/>
      <c r="F143" s="26" t="n"/>
      <c r="G143" s="26" t="n"/>
      <c r="H143" s="28">
        <f>E143*F143</f>
        <v/>
      </c>
      <c r="I143" s="35">
        <f>E143*G143</f>
        <v/>
      </c>
      <c r="J143" s="26" t="n"/>
      <c r="K143" s="26" t="n"/>
      <c r="L143" s="175" t="n"/>
      <c r="M143" s="26" t="n"/>
      <c r="N143" s="32" t="n"/>
    </row>
    <row r="144" ht="20.1" customHeight="1" s="136">
      <c r="A144" s="174" t="n"/>
      <c r="B144" s="26" t="n"/>
      <c r="C144" s="26" t="n"/>
      <c r="D144" s="27" t="n"/>
      <c r="E144" s="26" t="n"/>
      <c r="F144" s="26" t="n"/>
      <c r="G144" s="26" t="n"/>
      <c r="H144" s="28">
        <f>E144*F144</f>
        <v/>
      </c>
      <c r="I144" s="35">
        <f>E144*G144</f>
        <v/>
      </c>
      <c r="J144" s="26" t="n"/>
      <c r="K144" s="26" t="n"/>
      <c r="L144" s="26" t="n"/>
      <c r="M144" s="26" t="n"/>
      <c r="N144" s="32" t="n"/>
    </row>
    <row r="145" ht="20.1" customHeight="1" s="136">
      <c r="A145" s="152" t="n"/>
      <c r="B145" s="26" t="n"/>
      <c r="C145" s="26" t="n"/>
      <c r="D145" s="27" t="n"/>
      <c r="E145" s="26" t="n"/>
      <c r="F145" s="26" t="n"/>
      <c r="G145" s="26" t="n"/>
      <c r="H145" s="28">
        <f>E145*F145</f>
        <v/>
      </c>
      <c r="I145" s="35">
        <f>E145*G145</f>
        <v/>
      </c>
      <c r="J145" s="26" t="n"/>
      <c r="K145" s="26" t="n"/>
      <c r="L145" s="26" t="n"/>
      <c r="M145" s="26" t="n"/>
      <c r="N145" s="32" t="n"/>
    </row>
    <row r="146" ht="20.1" customHeight="1" s="136">
      <c r="A146" s="116" t="inlineStr">
        <is>
          <t>运
输</t>
        </is>
      </c>
      <c r="B146" s="26" t="n"/>
      <c r="C146" s="26" t="n"/>
      <c r="D146" s="27" t="n"/>
      <c r="E146" s="26" t="n"/>
      <c r="F146" s="26" t="n"/>
      <c r="G146" s="26" t="n"/>
      <c r="H146" s="28">
        <f>E146*F146</f>
        <v/>
      </c>
      <c r="I146" s="35">
        <f>E146*G146</f>
        <v/>
      </c>
      <c r="J146" s="26" t="n"/>
      <c r="K146" s="26" t="n"/>
      <c r="L146" s="26" t="n"/>
      <c r="M146" s="32" t="n"/>
      <c r="N146" s="32" t="n"/>
    </row>
    <row r="147" ht="20.1" customHeight="1" s="136">
      <c r="A147" s="174" t="n"/>
      <c r="B147" s="26" t="n"/>
      <c r="C147" s="26" t="n"/>
      <c r="D147" s="27" t="n"/>
      <c r="E147" s="26" t="n"/>
      <c r="F147" s="26" t="n"/>
      <c r="G147" s="26" t="n"/>
      <c r="H147" s="28">
        <f>E147*F147</f>
        <v/>
      </c>
      <c r="I147" s="35">
        <f>E147*G147</f>
        <v/>
      </c>
      <c r="J147" s="26" t="n"/>
      <c r="K147" s="26" t="n"/>
      <c r="L147" s="26" t="n"/>
      <c r="M147" s="26" t="n"/>
      <c r="N147" s="32" t="n"/>
    </row>
    <row r="148" ht="20.1" customHeight="1" s="136">
      <c r="A148" s="152" t="n"/>
      <c r="B148" s="26" t="n"/>
      <c r="C148" s="26" t="n"/>
      <c r="D148" s="27" t="n"/>
      <c r="E148" s="26" t="n"/>
      <c r="F148" s="26" t="n"/>
      <c r="G148" s="26" t="n"/>
      <c r="H148" s="28">
        <f>E148*F148</f>
        <v/>
      </c>
      <c r="I148" s="35">
        <f>E148*G148</f>
        <v/>
      </c>
      <c r="J148" s="26" t="n"/>
      <c r="K148" s="26" t="n"/>
      <c r="L148" s="26" t="n"/>
      <c r="M148" s="26" t="n"/>
      <c r="N148" s="32" t="n"/>
    </row>
    <row r="149" ht="20.1" customHeight="1" s="136">
      <c r="A149" s="112" t="inlineStr">
        <is>
          <t>大消费</t>
        </is>
      </c>
      <c r="B149" s="26" t="n"/>
      <c r="C149" s="26" t="n"/>
      <c r="D149" s="27" t="n"/>
      <c r="E149" s="26" t="n"/>
      <c r="F149" s="26" t="n"/>
      <c r="G149" s="26" t="n"/>
      <c r="H149" s="28">
        <f>E149*F149</f>
        <v/>
      </c>
      <c r="I149" s="35">
        <f>E149*G149</f>
        <v/>
      </c>
      <c r="J149" s="26" t="n"/>
      <c r="K149" s="26" t="n"/>
      <c r="L149" s="26" t="n"/>
      <c r="M149" s="32" t="n"/>
      <c r="N149" s="32" t="n"/>
    </row>
    <row r="150" ht="20.1" customHeight="1" s="136">
      <c r="A150" s="174" t="n"/>
      <c r="B150" s="26" t="n"/>
      <c r="C150" s="26" t="n"/>
      <c r="D150" s="27" t="n"/>
      <c r="E150" s="26" t="n"/>
      <c r="F150" s="26" t="n"/>
      <c r="G150" s="26" t="n"/>
      <c r="H150" s="28">
        <f>E150*F150</f>
        <v/>
      </c>
      <c r="I150" s="35">
        <f>E150*G150</f>
        <v/>
      </c>
      <c r="J150" s="26" t="n"/>
      <c r="K150" s="26" t="n"/>
      <c r="L150" s="26" t="n"/>
      <c r="M150" s="26" t="n"/>
      <c r="N150" s="32" t="n"/>
    </row>
    <row r="151" ht="20.1" customHeight="1" s="136">
      <c r="A151" s="152" t="n"/>
      <c r="B151" s="26" t="n"/>
      <c r="C151" s="26" t="n"/>
      <c r="D151" s="27" t="n"/>
      <c r="E151" s="26" t="n"/>
      <c r="F151" s="26" t="n"/>
      <c r="G151" s="26" t="n"/>
      <c r="H151" s="28">
        <f>E151*F151</f>
        <v/>
      </c>
      <c r="I151" s="35">
        <f>E151*G151</f>
        <v/>
      </c>
      <c r="J151" s="26" t="n"/>
      <c r="K151" s="26" t="n"/>
      <c r="L151" s="26" t="n"/>
      <c r="M151" s="32" t="n"/>
      <c r="N151" s="32" t="n"/>
    </row>
    <row r="152" ht="20.1" customHeight="1" s="136">
      <c r="A152" s="112" t="inlineStr">
        <is>
          <t>媒体</t>
        </is>
      </c>
      <c r="B152" s="26" t="n"/>
      <c r="C152" s="26" t="n"/>
      <c r="D152" s="27" t="n"/>
      <c r="E152" s="26" t="n"/>
      <c r="F152" s="26" t="n"/>
      <c r="G152" s="26" t="n"/>
      <c r="H152" s="28">
        <f>E152*F152</f>
        <v/>
      </c>
      <c r="I152" s="35">
        <f>E152*G152</f>
        <v/>
      </c>
      <c r="J152" s="26" t="n"/>
      <c r="K152" s="26" t="n"/>
      <c r="L152" s="26" t="n"/>
      <c r="M152" s="26" t="n"/>
      <c r="N152" s="32" t="n"/>
    </row>
  </sheetData>
  <mergeCells count="22">
    <mergeCell ref="A139:A145"/>
    <mergeCell ref="A72:A74"/>
    <mergeCell ref="A104:A110"/>
    <mergeCell ref="A37:A45"/>
    <mergeCell ref="O1:O2"/>
    <mergeCell ref="A1:N1"/>
    <mergeCell ref="A90:A93"/>
    <mergeCell ref="A75:A89"/>
    <mergeCell ref="A11:A27"/>
    <mergeCell ref="A120:A130"/>
    <mergeCell ref="A97:A103"/>
    <mergeCell ref="A60:A71"/>
    <mergeCell ref="F2:G2"/>
    <mergeCell ref="A3:A10"/>
    <mergeCell ref="A28:A36"/>
    <mergeCell ref="A132:A138"/>
    <mergeCell ref="A94:A96"/>
    <mergeCell ref="A111:A119"/>
    <mergeCell ref="A146:A148"/>
    <mergeCell ref="A149:A151"/>
    <mergeCell ref="A51:A59"/>
    <mergeCell ref="A46:A50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00B0F0"/>
    <outlinePr summaryBelow="1" summaryRight="1"/>
    <pageSetUpPr/>
  </sheetPr>
  <dimension ref="B2:K18"/>
  <sheetViews>
    <sheetView zoomScale="115" zoomScaleNormal="115" workbookViewId="0">
      <selection activeCell="M23" sqref="M23"/>
    </sheetView>
  </sheetViews>
  <sheetFormatPr baseColWidth="8" defaultColWidth="9" defaultRowHeight="13.5"/>
  <cols>
    <col width="10.75" customWidth="1" style="136" min="3" max="3"/>
    <col width="11.125" customWidth="1" style="136" min="5" max="5"/>
    <col width="9" customWidth="1" style="136" min="6" max="6"/>
    <col width="12.25" customWidth="1" style="136" min="7" max="7"/>
    <col width="6.625" customWidth="1" style="136" min="8" max="8"/>
  </cols>
  <sheetData>
    <row r="2" ht="30" customHeight="1" s="136">
      <c r="B2" s="129" t="inlineStr">
        <is>
          <t>主要指数及ETF估值 ( 统计日期：2025.12.31）</t>
        </is>
      </c>
    </row>
    <row r="3">
      <c r="B3" s="131" t="n"/>
    </row>
    <row r="4" ht="30" customHeight="1" s="136">
      <c r="B4" s="1" t="inlineStr">
        <is>
          <t>主要指数</t>
        </is>
      </c>
      <c r="C4" s="2" t="inlineStr">
        <is>
          <t>点位</t>
        </is>
      </c>
      <c r="D4" s="1" t="inlineStr">
        <is>
          <t>年内涨幅
(%)</t>
        </is>
      </c>
      <c r="E4" s="1" t="inlineStr">
        <is>
          <t>当前(TTM)
市盈率</t>
        </is>
      </c>
      <c r="F4" s="1" t="inlineStr">
        <is>
          <t>10年平均
市盈率</t>
        </is>
      </c>
      <c r="G4" s="1" t="inlineStr">
        <is>
          <t>10年分位点
（%）</t>
        </is>
      </c>
      <c r="H4" s="1" t="inlineStr">
        <is>
          <t>修正后
分位点</t>
        </is>
      </c>
      <c r="I4" s="2" t="inlineStr">
        <is>
          <t>估值</t>
        </is>
      </c>
      <c r="K4" s="15" t="inlineStr">
        <is>
          <t>加权</t>
        </is>
      </c>
    </row>
    <row r="5" ht="16.5" customHeight="1" s="136">
      <c r="B5" s="3" t="inlineStr">
        <is>
          <t>上证指数</t>
        </is>
      </c>
      <c r="C5" s="177" t="n">
        <v>3351.76</v>
      </c>
      <c r="D5" s="178" t="n">
        <v>12.67</v>
      </c>
      <c r="E5" s="179" t="n">
        <v>14.55</v>
      </c>
      <c r="F5" s="180" t="n">
        <v>14.13</v>
      </c>
      <c r="G5" s="181" t="n">
        <v>65.75</v>
      </c>
      <c r="H5" s="182">
        <f>G5*K5</f>
        <v/>
      </c>
      <c r="I5" s="16" t="inlineStr">
        <is>
          <t>合理</t>
        </is>
      </c>
      <c r="K5" s="17" t="n">
        <v>0.9</v>
      </c>
    </row>
    <row r="6" ht="16.5" customHeight="1" s="136">
      <c r="B6" s="10" t="inlineStr">
        <is>
          <t>深证成指</t>
        </is>
      </c>
      <c r="C6" s="177" t="n">
        <v>10414.61</v>
      </c>
      <c r="D6" s="178" t="n">
        <v>9.34</v>
      </c>
      <c r="E6" s="179" t="n">
        <v>24.87</v>
      </c>
      <c r="F6" s="180" t="n">
        <v>26.83</v>
      </c>
      <c r="G6" s="181" t="n">
        <v>36.59</v>
      </c>
      <c r="H6" s="182">
        <f>G6*K6</f>
        <v/>
      </c>
      <c r="I6" s="16" t="inlineStr">
        <is>
          <t>合理</t>
        </is>
      </c>
      <c r="K6" s="17" t="n">
        <v>1.25</v>
      </c>
    </row>
    <row r="7" ht="16.5" customHeight="1" s="136">
      <c r="B7" s="10" t="inlineStr">
        <is>
          <t>创业板指</t>
        </is>
      </c>
      <c r="C7" s="177" t="n">
        <v>2141.6</v>
      </c>
      <c r="D7" s="178" t="n">
        <v>13.23</v>
      </c>
      <c r="E7" s="179" t="n">
        <v>33.26</v>
      </c>
      <c r="F7" s="180" t="n">
        <v>49.61</v>
      </c>
      <c r="G7" s="181" t="n">
        <v>18.59</v>
      </c>
      <c r="H7" s="183" t="inlineStr">
        <is>
          <t>N/A</t>
        </is>
      </c>
      <c r="I7" s="18" t="inlineStr">
        <is>
          <t>N/A</t>
        </is>
      </c>
      <c r="K7" s="17" t="n"/>
    </row>
    <row r="8" ht="16.5" customHeight="1" s="136">
      <c r="B8" s="12" t="inlineStr">
        <is>
          <t>恒生指数</t>
        </is>
      </c>
      <c r="C8" s="177" t="n">
        <v>20059.95</v>
      </c>
      <c r="D8" s="178" t="n">
        <v>17.67</v>
      </c>
      <c r="E8" s="179" t="n">
        <v>9.18</v>
      </c>
      <c r="F8" s="180" t="n">
        <v>10.53</v>
      </c>
      <c r="G8" s="181" t="n">
        <v>24.14</v>
      </c>
      <c r="H8" s="182">
        <f>G8*K8</f>
        <v/>
      </c>
      <c r="I8" s="16" t="inlineStr">
        <is>
          <t>低估</t>
        </is>
      </c>
      <c r="K8" s="17" t="n">
        <v>1</v>
      </c>
    </row>
    <row r="9" ht="16.5" customHeight="1" s="136">
      <c r="B9" s="3" t="inlineStr">
        <is>
          <t>沪深300</t>
        </is>
      </c>
      <c r="C9" s="177" t="n">
        <v>3934.91</v>
      </c>
      <c r="D9" s="178" t="n">
        <v>14.68</v>
      </c>
      <c r="E9" s="179" t="n">
        <v>12.93</v>
      </c>
      <c r="F9" s="180" t="n">
        <v>12.83</v>
      </c>
      <c r="G9" s="181" t="n">
        <v>58.51</v>
      </c>
      <c r="H9" s="182">
        <f>G9*K9</f>
        <v/>
      </c>
      <c r="I9" s="16" t="inlineStr">
        <is>
          <t>合理</t>
        </is>
      </c>
      <c r="K9" s="17" t="n">
        <v>0.85</v>
      </c>
    </row>
    <row r="10" ht="16.5" customHeight="1" s="136">
      <c r="B10" s="10" t="inlineStr">
        <is>
          <t>科创50</t>
        </is>
      </c>
      <c r="C10" s="177" t="n">
        <v>988.9299999999999</v>
      </c>
      <c r="D10" s="178" t="n">
        <v>16.07</v>
      </c>
      <c r="E10" s="179" t="n">
        <v>85.2</v>
      </c>
      <c r="F10" s="180" t="n">
        <v>56.93</v>
      </c>
      <c r="G10" s="181" t="n">
        <v>96.08</v>
      </c>
      <c r="H10" s="184" t="inlineStr">
        <is>
          <t>N/A</t>
        </is>
      </c>
      <c r="I10" s="18" t="inlineStr">
        <is>
          <t>N/A</t>
        </is>
      </c>
    </row>
    <row r="11" ht="16.5" customHeight="1" s="136">
      <c r="B11" s="10" t="inlineStr">
        <is>
          <t>中证A50</t>
        </is>
      </c>
      <c r="C11" s="177" t="n">
        <v>1567.71</v>
      </c>
      <c r="D11" s="178" t="n">
        <v>15.54</v>
      </c>
      <c r="E11" s="179" t="n">
        <v>17.81</v>
      </c>
      <c r="F11" s="180" t="n">
        <v>16.26</v>
      </c>
      <c r="G11" s="181" t="n">
        <v>82.34999999999999</v>
      </c>
      <c r="H11" s="182">
        <f>G11*K11</f>
        <v/>
      </c>
      <c r="I11" s="16" t="inlineStr">
        <is>
          <t>合理</t>
        </is>
      </c>
      <c r="K11" s="17" t="n">
        <v>0.85</v>
      </c>
    </row>
    <row r="12" ht="16.5" customHeight="1" s="136">
      <c r="B12" s="3" t="inlineStr">
        <is>
          <t>wind全A</t>
        </is>
      </c>
      <c r="C12" s="177" t="n">
        <v>5021.86</v>
      </c>
      <c r="D12" s="178" t="n">
        <v>10</v>
      </c>
      <c r="E12" s="179" t="n">
        <v>18.53</v>
      </c>
      <c r="F12" s="180" t="n">
        <v>18.9</v>
      </c>
      <c r="G12" s="181" t="n">
        <v>52.84</v>
      </c>
      <c r="H12" s="182">
        <f>G12*K12</f>
        <v/>
      </c>
      <c r="I12" s="16" t="inlineStr">
        <is>
          <t>合理</t>
        </is>
      </c>
      <c r="K12" s="17" t="n">
        <v>1</v>
      </c>
    </row>
    <row r="13" ht="16.5" customHeight="1" s="136">
      <c r="B13" s="132" t="n"/>
    </row>
    <row r="14" ht="81" customHeight="1" s="136">
      <c r="B14" s="128" t="inlineStr">
        <is>
          <t>※ 说明（十年分位点%）：≥90（严重高估），75-90百分位（高估），25-75（合理），10-25（低估），≤10（严重低估），以上均为菜头个人主观判断，无科学标准。科创50成立时间较短，分位点波动加大，谨慎参考。考虑到未来A股的估值变化，菜头个人加权修正（主观判断，无科学依据）
修正规则：①上证指数分位*90%；② 深圳成指分位*125%；③沪深300指数分位*85%；④中证A50指数分位*85%；其他保持不变。</t>
        </is>
      </c>
      <c r="C14" s="145" t="n"/>
      <c r="D14" s="145" t="n"/>
      <c r="E14" s="145" t="n"/>
      <c r="F14" s="145" t="n"/>
      <c r="G14" s="145" t="n"/>
      <c r="H14" s="145" t="n"/>
      <c r="I14" s="146" t="n"/>
    </row>
    <row r="15" ht="16.5" customHeight="1" s="136">
      <c r="B15" s="132" t="n"/>
    </row>
    <row r="16" ht="39.95" customHeight="1" s="136">
      <c r="B16" s="128" t="inlineStr">
        <is>
          <t>※ ETF 定投建议：严重高估：无定投，保存现金，高估：定投25%，合理：定投50%，低估：定投75%，严重低估：全仓买入。特别说明：以上同样仅代表菜头个人操作方式，核心思路就是越跌越买，但长期经验表明，行情波动较大的时候，此方法可以获得不错收益，请谨慎投资。</t>
        </is>
      </c>
      <c r="C16" s="145" t="n"/>
      <c r="D16" s="145" t="n"/>
      <c r="E16" s="145" t="n"/>
      <c r="F16" s="145" t="n"/>
      <c r="G16" s="145" t="n"/>
      <c r="H16" s="145" t="n"/>
      <c r="I16" s="146" t="n"/>
    </row>
    <row r="17" ht="16.5" customHeight="1" s="136"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16.5" customHeight="1" s="136">
      <c r="B18" s="14" t="n"/>
      <c r="C18" s="14" t="n"/>
      <c r="D18" s="14" t="n"/>
      <c r="E18" s="14" t="n"/>
      <c r="F18" s="14" t="n"/>
      <c r="G18" s="14" t="n"/>
      <c r="H18" s="14" t="n"/>
      <c r="I18" s="14" t="n"/>
    </row>
  </sheetData>
  <mergeCells count="6">
    <mergeCell ref="B13:I13"/>
    <mergeCell ref="B15:I15"/>
    <mergeCell ref="B16:I16"/>
    <mergeCell ref="B2:I2"/>
    <mergeCell ref="B3:I3"/>
    <mergeCell ref="B14:I14"/>
  </mergeCells>
  <conditionalFormatting sqref="D7">
    <cfRule type="cellIs" priority="49" operator="lessThan" dxfId="5">
      <formula>0</formula>
    </cfRule>
    <cfRule type="cellIs" priority="50" operator="greaterThan" dxfId="4">
      <formula>0</formula>
    </cfRule>
  </conditionalFormatting>
  <conditionalFormatting sqref="D8">
    <cfRule type="cellIs" priority="2" operator="greaterThan" dxfId="4">
      <formula>0</formula>
    </cfRule>
    <cfRule type="cellIs" priority="1" operator="lessThan" dxfId="5">
      <formula>0</formula>
    </cfRule>
  </conditionalFormatting>
  <conditionalFormatting sqref="I8">
    <cfRule type="containsText" priority="10" operator="containsText" dxfId="0" text="合理">
      <formula>NOT(ISERROR(SEARCH("合理",I8)))</formula>
    </cfRule>
    <cfRule type="containsText" priority="9" operator="containsText" dxfId="1" text="高估">
      <formula>NOT(ISERROR(SEARCH("高估",I8)))</formula>
    </cfRule>
    <cfRule type="containsText" priority="8" operator="containsText" dxfId="2" text="低估">
      <formula>NOT(ISERROR(SEARCH("低估",I8)))</formula>
    </cfRule>
    <cfRule type="containsText" priority="7" operator="containsText" dxfId="3" text="低估">
      <formula>NOT(ISERROR(SEARCH("低估",I8)))</formula>
    </cfRule>
    <cfRule type="containsText" priority="6" operator="containsText" dxfId="4" text="严重高估">
      <formula>NOT(ISERROR(SEARCH("严重高估",I8)))</formula>
    </cfRule>
    <cfRule type="containsText" priority="5" operator="containsText" dxfId="5" text="严重低估">
      <formula>NOT(ISERROR(SEARCH("严重低估",I8)))</formula>
    </cfRule>
    <cfRule type="containsText" priority="4" operator="containsText" dxfId="6" text="严重高估">
      <formula>NOT(ISERROR(SEARCH("严重高估",I8)))</formula>
    </cfRule>
    <cfRule type="containsText" priority="3" operator="containsText" dxfId="7" text="严重低估">
      <formula>NOT(ISERROR(SEARCH("严重低估",I8)))</formula>
    </cfRule>
  </conditionalFormatting>
  <conditionalFormatting sqref="D10">
    <cfRule type="cellIs" priority="35" operator="lessThan" dxfId="5">
      <formula>0</formula>
    </cfRule>
    <cfRule type="cellIs" priority="36" operator="greaterThan" dxfId="4">
      <formula>0</formula>
    </cfRule>
  </conditionalFormatting>
  <conditionalFormatting sqref="I11">
    <cfRule type="containsText" priority="19" operator="containsText" dxfId="7" text="严重低估">
      <formula>NOT(ISERROR(SEARCH("严重低估",I11)))</formula>
    </cfRule>
    <cfRule type="containsText" priority="20" operator="containsText" dxfId="6" text="严重高估">
      <formula>NOT(ISERROR(SEARCH("严重高估",I11)))</formula>
    </cfRule>
    <cfRule type="containsText" priority="21" operator="containsText" dxfId="5" text="严重低估">
      <formula>NOT(ISERROR(SEARCH("严重低估",I11)))</formula>
    </cfRule>
    <cfRule type="containsText" priority="22" operator="containsText" dxfId="4" text="严重高估">
      <formula>NOT(ISERROR(SEARCH("严重高估",I11)))</formula>
    </cfRule>
    <cfRule type="containsText" priority="23" operator="containsText" dxfId="3" text="低估">
      <formula>NOT(ISERROR(SEARCH("低估",I11)))</formula>
    </cfRule>
    <cfRule type="containsText" priority="24" operator="containsText" dxfId="2" text="低估">
      <formula>NOT(ISERROR(SEARCH("低估",I11)))</formula>
    </cfRule>
    <cfRule type="containsText" priority="25" operator="containsText" dxfId="1" text="高估">
      <formula>NOT(ISERROR(SEARCH("高估",I11)))</formula>
    </cfRule>
    <cfRule type="containsText" priority="26" operator="containsText" dxfId="0" text="合理">
      <formula>NOT(ISERROR(SEARCH("合理",I11)))</formula>
    </cfRule>
  </conditionalFormatting>
  <conditionalFormatting sqref="I12">
    <cfRule type="containsText" priority="11" operator="containsText" dxfId="7" text="严重低估">
      <formula>NOT(ISERROR(SEARCH("严重低估",I12)))</formula>
    </cfRule>
    <cfRule type="containsText" priority="12" operator="containsText" dxfId="6" text="严重高估">
      <formula>NOT(ISERROR(SEARCH("严重高估",I12)))</formula>
    </cfRule>
    <cfRule type="containsText" priority="13" operator="containsText" dxfId="5" text="严重低估">
      <formula>NOT(ISERROR(SEARCH("严重低估",I12)))</formula>
    </cfRule>
    <cfRule type="containsText" priority="14" operator="containsText" dxfId="4" text="严重高估">
      <formula>NOT(ISERROR(SEARCH("严重高估",I12)))</formula>
    </cfRule>
    <cfRule type="containsText" priority="15" operator="containsText" dxfId="3" text="低估">
      <formula>NOT(ISERROR(SEARCH("低估",I12)))</formula>
    </cfRule>
    <cfRule type="containsText" priority="16" operator="containsText" dxfId="2" text="低估">
      <formula>NOT(ISERROR(SEARCH("低估",I12)))</formula>
    </cfRule>
    <cfRule type="containsText" priority="17" operator="containsText" dxfId="1" text="高估">
      <formula>NOT(ISERROR(SEARCH("高估",I12)))</formula>
    </cfRule>
    <cfRule type="containsText" priority="18" operator="containsText" dxfId="0" text="合理">
      <formula>NOT(ISERROR(SEARCH("合理",I12)))</formula>
    </cfRule>
  </conditionalFormatting>
  <conditionalFormatting sqref="D5:D6 D9 D11:D12">
    <cfRule type="cellIs" priority="51" operator="lessThan" dxfId="5">
      <formula>0</formula>
    </cfRule>
    <cfRule type="cellIs" priority="52" operator="greaterThan" dxfId="4">
      <formula>0</formula>
    </cfRule>
  </conditionalFormatting>
  <conditionalFormatting sqref="I5:I6 I9">
    <cfRule type="containsText" priority="53" operator="containsText" dxfId="7" text="严重低估">
      <formula>NOT(ISERROR(SEARCH("严重低估",I5)))</formula>
    </cfRule>
    <cfRule type="containsText" priority="54" operator="containsText" dxfId="6" text="严重高估">
      <formula>NOT(ISERROR(SEARCH("严重高估",I5)))</formula>
    </cfRule>
    <cfRule type="containsText" priority="55" operator="containsText" dxfId="5" text="严重低估">
      <formula>NOT(ISERROR(SEARCH("严重低估",I5)))</formula>
    </cfRule>
    <cfRule type="containsText" priority="56" operator="containsText" dxfId="4" text="严重高估">
      <formula>NOT(ISERROR(SEARCH("严重高估",I5)))</formula>
    </cfRule>
    <cfRule type="containsText" priority="57" operator="containsText" dxfId="3" text="低估">
      <formula>NOT(ISERROR(SEARCH("低估",I5)))</formula>
    </cfRule>
    <cfRule type="containsText" priority="58" operator="containsText" dxfId="2" text="低估">
      <formula>NOT(ISERROR(SEARCH("低估",I5)))</formula>
    </cfRule>
    <cfRule type="containsText" priority="59" operator="containsText" dxfId="1" text="高估">
      <formula>NOT(ISERROR(SEARCH("高估",I5)))</formula>
    </cfRule>
    <cfRule type="containsText" priority="60" operator="containsText" dxfId="0" text="合理">
      <formula>NOT(ISERROR(SEARCH("合理",I5)))</formula>
    </cfRule>
  </conditionalFormatting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chaobo wu</dc:creator>
  <dcterms:created xmlns:dcterms="http://purl.org/dc/terms/" xmlns:xsi="http://www.w3.org/2001/XMLSchema-instance" xsi:type="dcterms:W3CDTF">2020-12-06T09:26:00Z</dcterms:created>
  <dcterms:modified xmlns:dcterms="http://purl.org/dc/terms/" xmlns:xsi="http://www.w3.org/2001/XMLSchema-instance" xsi:type="dcterms:W3CDTF">2026-07-05T22:48:58Z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2052-12.1.0.20305</vt:lpwstr>
  </property>
  <property name="ICV" fmtid="{D5CDD505-2E9C-101B-9397-08002B2CF9AE}" pid="3">
    <vt:lpwstr xmlns:vt="http://schemas.openxmlformats.org/officeDocument/2006/docPropsVTypes">B33A41F982B74B2DA5A6071B96E4BD6B_13</vt:lpwstr>
  </property>
  <property name="KSOReadingLayout" fmtid="{D5CDD505-2E9C-101B-9397-08002B2CF9AE}" pid="4">
    <vt:bool xmlns:vt="http://schemas.openxmlformats.org/officeDocument/2006/docPropsVTypes">1</vt:bool>
  </property>
</Properties>
</file>